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/>
  <mc:AlternateContent xmlns:mc="http://schemas.openxmlformats.org/markup-compatibility/2006">
    <mc:Choice Requires="x15">
      <x15ac:absPath xmlns:x15ac="http://schemas.microsoft.com/office/spreadsheetml/2010/11/ac" url="C:\Users\s654893\Downloads\"/>
    </mc:Choice>
  </mc:AlternateContent>
  <xr:revisionPtr revIDLastSave="0" documentId="13_ncr:1_{A805E051-D01C-49F8-9D00-CBEEB9CD0E62}" xr6:coauthVersionLast="47" xr6:coauthVersionMax="47" xr10:uidLastSave="{00000000-0000-0000-0000-000000000000}"/>
  <bookViews>
    <workbookView xWindow="0" yWindow="360" windowWidth="23256" windowHeight="12456" firstSheet="1" activeTab="2" xr2:uid="{00000000-000D-0000-FFFF-FFFF00000000}"/>
  </bookViews>
  <sheets>
    <sheet name="Exigences Risques chimiques" sheetId="1" r:id="rId1"/>
    <sheet name="Checklist SSE" sheetId="2" r:id="rId2"/>
    <sheet name="Inventaire" sheetId="3" r:id="rId3"/>
    <sheet name="Analyse + Commentaires" sheetId="6" r:id="rId4"/>
    <sheet name="Dasboard Indicateur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7" i="6"/>
  <c r="D6" i="6"/>
  <c r="D5" i="6"/>
  <c r="D4" i="6"/>
</calcChain>
</file>

<file path=xl/sharedStrings.xml><?xml version="1.0" encoding="utf-8"?>
<sst xmlns="http://schemas.openxmlformats.org/spreadsheetml/2006/main" count="672" uniqueCount="336">
  <si>
    <t>Référentiel Safran HSE – PRO0239 Standard Risque Chimique 4.06</t>
  </si>
  <si>
    <t>Domaine</t>
  </si>
  <si>
    <t>Exigence / Point de contrôle</t>
  </si>
  <si>
    <t>Question de contrôle</t>
  </si>
  <si>
    <t>Conformité (Oui/Non)</t>
  </si>
  <si>
    <t>Preuves / Observations</t>
  </si>
  <si>
    <t>Actions à mener</t>
  </si>
  <si>
    <t>Responsable</t>
  </si>
  <si>
    <t>Gouvernance</t>
  </si>
  <si>
    <t>Inventaire produits chimiques</t>
  </si>
  <si>
    <t>L’inventaire des produits chimiques est-il exhaustif et à jour ?</t>
  </si>
  <si>
    <t>Non</t>
  </si>
  <si>
    <t>Liste des produits chimiques regrougés dans Reaching. Certains produits ou leur code ne sont pas enregistrrés</t>
  </si>
  <si>
    <t xml:space="preserve">Retirer les produits non identifiés, mettre à jour mensuellement les code des produits, vérifier la date péremption, définir le volume maximale à respecter </t>
  </si>
  <si>
    <t>Documentation</t>
  </si>
  <si>
    <t>FDS disponibles</t>
  </si>
  <si>
    <t>Les FDS sont-elles disponibles, accessibles et à jour (&lt;3 ans) ?</t>
  </si>
  <si>
    <t>Listes des produits dans REACHING. Les FDS de certains produits sont supérieures à 3 ans d'utilisation</t>
  </si>
  <si>
    <t>Mettre une alerte de mise à jour annuelle, Associer chaque produit à sa FDS clairement, Vérifier chaque produit → présence des FDS, Télécharger les FDS &lt; 3 ans</t>
  </si>
  <si>
    <t>Évaluation des risques</t>
  </si>
  <si>
    <t>Évaluation risques chimiques</t>
  </si>
  <si>
    <t>Une évaluation des risques chimiques est-elle formalisée ?</t>
  </si>
  <si>
    <t>Oui</t>
  </si>
  <si>
    <t xml:space="preserve">Faire un diagnostic de conformité au standard, Créer une checklist interne simplifiée, Vérifier le stockage, l'étiquetage, la ventilation,Intégrer le référentiel dans les audits internes, et les inspections périodiques.
</t>
  </si>
  <si>
    <t>Substitution</t>
  </si>
  <si>
    <t>Flux H25</t>
  </si>
  <si>
    <t>Une substitution du Flux H25 est-elle définie ou en cours ?</t>
  </si>
  <si>
    <t>Prévention technique</t>
  </si>
  <si>
    <t>Ventilation / captage</t>
  </si>
  <si>
    <t>Les dispositifs de captage/ventilation sont-ils présents et efficaces ?</t>
  </si>
  <si>
    <t>Ouvrir chaque armoire : vérifier le contenu réel, Classer les produits : inflammables et toxiques, Retirer : les déchets et les produits expirés, Identifier : la capacité maximale, étiqueter chaque armoire clairement.</t>
  </si>
  <si>
    <t>EPI</t>
  </si>
  <si>
    <t>EPI adaptés</t>
  </si>
  <si>
    <t>Les EPI sont-ils adaptés, disponibles et portés ?</t>
  </si>
  <si>
    <t>Formation</t>
  </si>
  <si>
    <t>Formation opérateurs</t>
  </si>
  <si>
    <t>Les opérateurs sont-ils formés aux risques chimiques ?</t>
  </si>
  <si>
    <t xml:space="preserve">oui </t>
  </si>
  <si>
    <t>Formation aux risques chimiques dans secupass. Plusieurs opérateurs sont formés et recyclés</t>
  </si>
  <si>
    <t>Vérifier que 100% du personnel est formé, Ajouter : les rappels réguliers (brief 5 min terrain),Former sur : la lecture des FDS, des pictogrammes, Former sur :
lecture FDS, les pictogrammes, la compatibilité chimique, la vérification des dates d'expiration, la gestion des produits expirés.</t>
  </si>
  <si>
    <t>Stockage</t>
  </si>
  <si>
    <t>Compatibilité produits</t>
  </si>
  <si>
    <t>Les produits sont-ils stockés par compatibilité chimique ?</t>
  </si>
  <si>
    <t>Inspection des armoires chimiques</t>
  </si>
  <si>
    <t>Mettre en place une inspection mensuelle standardisée Utiliser une checklist simple : état armoire, le rangement, la présence FDS. Noter les NC 
affecter : un responsable par zone  et suivre les actions (tableau de suivi).</t>
  </si>
  <si>
    <t>Étiquetage CLP</t>
  </si>
  <si>
    <t>Les contenants sont-ils correctement étiquetés (CLP) ?</t>
  </si>
  <si>
    <t>Urgence</t>
  </si>
  <si>
    <t>Gestion des déversements</t>
  </si>
  <si>
    <t>Des kits anti-déversement sont-ils disponibles et connus ?</t>
  </si>
  <si>
    <t>Lave-œil / douche</t>
  </si>
  <si>
    <t>Les équipements de secours sont-ils fonctionnels et accessibles ?</t>
  </si>
  <si>
    <t>Définition des acronymes</t>
  </si>
  <si>
    <r>
      <rPr>
        <b/>
        <sz val="11"/>
        <color rgb="FF000000"/>
        <rFont val="Calibri"/>
        <scheme val="minor"/>
      </rPr>
      <t>FDS</t>
    </r>
    <r>
      <rPr>
        <sz val="11"/>
        <color rgb="FF000000"/>
        <rFont val="Calibri"/>
        <scheme val="minor"/>
      </rPr>
      <t xml:space="preserve">: Fiche de Sécurité </t>
    </r>
  </si>
  <si>
    <r>
      <rPr>
        <b/>
        <sz val="11"/>
        <color rgb="FF000000"/>
        <rFont val="Calibri"/>
        <scheme val="minor"/>
      </rPr>
      <t>EPI</t>
    </r>
    <r>
      <rPr>
        <sz val="11"/>
        <color rgb="FF000000"/>
        <rFont val="Calibri"/>
        <scheme val="minor"/>
      </rPr>
      <t>: Equipement de Protection Individuelle</t>
    </r>
  </si>
  <si>
    <r>
      <rPr>
        <b/>
        <sz val="11"/>
        <color rgb="FF000000"/>
        <rFont val="Calibri"/>
        <scheme val="minor"/>
      </rPr>
      <t xml:space="preserve">NC: </t>
    </r>
    <r>
      <rPr>
        <sz val="11"/>
        <color rgb="FF000000"/>
        <rFont val="Calibri"/>
        <scheme val="minor"/>
      </rPr>
      <t>non-conformités</t>
    </r>
  </si>
  <si>
    <t>FDS : Fiche de Données de Sécurité</t>
  </si>
  <si>
    <t>SECTION : ICLB /ICLK</t>
  </si>
  <si>
    <t>Date</t>
  </si>
  <si>
    <t>Contrôleur</t>
  </si>
  <si>
    <t>Zone</t>
  </si>
  <si>
    <t>Armoire</t>
  </si>
  <si>
    <t>Procédure</t>
  </si>
  <si>
    <t>Compatibilité</t>
  </si>
  <si>
    <t>Liste  de Produits</t>
  </si>
  <si>
    <t xml:space="preserve">Inventaire </t>
  </si>
  <si>
    <t>Bac rétention</t>
  </si>
  <si>
    <t>Etat</t>
  </si>
  <si>
    <t>Pictogrammes</t>
  </si>
  <si>
    <t>Rangement</t>
  </si>
  <si>
    <t>Compatibilité  des produits</t>
  </si>
  <si>
    <t>Produits mélangés</t>
  </si>
  <si>
    <t>Plan urgence</t>
  </si>
  <si>
    <t>Moyens disponibles</t>
  </si>
  <si>
    <t>Conformité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</si>
  <si>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</si>
  <si>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</si>
  <si>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</si>
  <si>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</si>
  <si>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</si>
  <si>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</si>
  <si>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</si>
  <si>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</si>
  <si>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</si>
  <si>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</si>
  <si>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</si>
  <si>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</si>
  <si>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</si>
  <si>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</si>
  <si>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</si>
  <si>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</si>
  <si>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</si>
  <si>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</si>
  <si>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</si>
  <si>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</si>
  <si>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</si>
  <si>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</si>
  <si>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</si>
  <si>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</si>
  <si>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</si>
  <si>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</si>
  <si>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</si>
  <si>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</si>
  <si>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</si>
  <si>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</si>
  <si>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</si>
  <si>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</si>
  <si>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</si>
  <si>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</si>
  <si>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</si>
  <si>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Mariette Njike</t>
  </si>
  <si>
    <t>B9</t>
  </si>
  <si>
    <t>Propre</t>
  </si>
  <si>
    <t>Bien rangée</t>
  </si>
  <si>
    <t>Conforme</t>
  </si>
  <si>
    <t>C9</t>
  </si>
  <si>
    <t>C8</t>
  </si>
  <si>
    <t>Mal rangé</t>
  </si>
  <si>
    <t>D9</t>
  </si>
  <si>
    <t>Salissant</t>
  </si>
  <si>
    <t>Non conforme</t>
  </si>
  <si>
    <t>E9</t>
  </si>
  <si>
    <t>E11-E12</t>
  </si>
  <si>
    <t>Non Conforme</t>
  </si>
  <si>
    <t>E12-E13</t>
  </si>
  <si>
    <t>F11-F12</t>
  </si>
  <si>
    <t>F13</t>
  </si>
  <si>
    <t>Assez bien rangée</t>
  </si>
  <si>
    <t>H11</t>
  </si>
  <si>
    <t>Produit(s) Chimique(s)identifié(s)</t>
  </si>
  <si>
    <t>Code Produit</t>
  </si>
  <si>
    <t xml:space="preserve">Quantité présente </t>
  </si>
  <si>
    <t>Quantité Utilisée</t>
  </si>
  <si>
    <t>Volume maximal stocké</t>
  </si>
  <si>
    <t>Date péremption</t>
  </si>
  <si>
    <t>FDS (Inférieur à 3 ans)</t>
  </si>
  <si>
    <t>Colonne8</t>
  </si>
  <si>
    <t>Colonne9</t>
  </si>
  <si>
    <t>Colonne10</t>
  </si>
  <si>
    <t>Colonne11</t>
  </si>
  <si>
    <t>ZONE ICLB</t>
  </si>
  <si>
    <t>B9-C9 (RTV)</t>
  </si>
  <si>
    <t>ACETONE 5l</t>
  </si>
  <si>
    <t>https://safran.my.quickfds.com/site/data/MPSAFRAN-FR_FR/204296.pdf</t>
  </si>
  <si>
    <t xml:space="preserve">DOW CORNING 1200 0S PRIMAIRE </t>
  </si>
  <si>
    <t>https://safran.my.quickfds.com/site/data/MPSAFRAN-FR_FR/210798.pdf</t>
  </si>
  <si>
    <t>DOW CORNING RTV 730FS</t>
  </si>
  <si>
    <t>Supérieure à 3 ans</t>
  </si>
  <si>
    <t>KIT PLYOLEFINE (LOCTITE 770)</t>
  </si>
  <si>
    <t>https://safran.my.quickfds.com/site/data/MPSAFRAN-FR_FR/230259.pdf</t>
  </si>
  <si>
    <t>KIT PLYOLEFINE (LOCTITE 406)</t>
  </si>
  <si>
    <t>https://safran.my.quickfds.com/site/data/MPSAFRAN-FR_FR/303067.pdf</t>
  </si>
  <si>
    <t>DIACLEAN</t>
  </si>
  <si>
    <t>inexistant</t>
  </si>
  <si>
    <t>Non disponible</t>
  </si>
  <si>
    <t>https://safran.my.quickfds.com/site/data/MPSAFRAN-FR_FR/358378.pdf</t>
  </si>
  <si>
    <t>ACETONE 4 K CNN</t>
  </si>
  <si>
    <t>TEEPOL 5l</t>
  </si>
  <si>
    <r>
      <rPr>
        <b/>
        <sz val="11"/>
        <color theme="1"/>
        <rFont val="Calibri"/>
        <family val="2"/>
        <scheme val="minor"/>
      </rPr>
      <t>C7 (MESUREURS )</t>
    </r>
    <r>
      <rPr>
        <sz val="11"/>
        <color theme="1"/>
        <rFont val="Calibri"/>
        <family val="2"/>
        <scheme val="minor"/>
      </rPr>
      <t xml:space="preserve"> aucune armoire chimique, l'armoire a été retirée. Elle se ferme normalement</t>
    </r>
  </si>
  <si>
    <t>C8 (Soudage)</t>
  </si>
  <si>
    <t>ACETONE 4K CNN</t>
  </si>
  <si>
    <t>10L</t>
  </si>
  <si>
    <t>ISOPROPANE</t>
  </si>
  <si>
    <t>L'armoire est miniscule, conforme, elle ne dispose pas de bac à rétention, la bouteille d'acétone vide n'est pas retirée de l'armoire.</t>
  </si>
  <si>
    <t>C7 (MESUREURS )aucune armoire chimique, l'armoire a été retirée</t>
  </si>
  <si>
    <t>C10 (MAINTENANCE OUTILLAGE)</t>
  </si>
  <si>
    <t>WD40-400ml AEROSOL</t>
  </si>
  <si>
    <t>iIllimitée</t>
  </si>
  <si>
    <t>https://safran.my.quickfds.com/site/data/MPSAFRAN-FR_FR/200720.pdf</t>
  </si>
  <si>
    <t>2011 ARALDITE</t>
  </si>
  <si>
    <t>VASELINE 20,48 (250 ml)</t>
  </si>
  <si>
    <t>Illimitée</t>
  </si>
  <si>
    <t>non.existante</t>
  </si>
  <si>
    <t>OIL TYPE BV 32</t>
  </si>
  <si>
    <t>PEINTURE ROUGE  FLUO (40 ml)</t>
  </si>
  <si>
    <t>LOCTITE 243 (50 ml)</t>
  </si>
  <si>
    <t>https://safran.my.quickfds.com/site/data/MPSAFRAN-FR_FR/303027.pdf</t>
  </si>
  <si>
    <t>D-321 R</t>
  </si>
  <si>
    <t>LOCTITE 277 (50 ml)</t>
  </si>
  <si>
    <t>https://safran.my.quickfds.com/site/data/MPSAFRAN-FR_FR/303036.pdf</t>
  </si>
  <si>
    <t>GRAISSE BELLEVILLE (haute température)</t>
  </si>
  <si>
    <t>PEINTURE NOIR MAT RAL 9005</t>
  </si>
  <si>
    <t>n/a</t>
  </si>
  <si>
    <t xml:space="preserve">PEINTURE ROUGE  </t>
  </si>
  <si>
    <t>GISS GRAISSE (500 ml)</t>
  </si>
  <si>
    <t>AIRSEC/ZE</t>
  </si>
  <si>
    <t xml:space="preserve">ELIX CLEAN </t>
  </si>
  <si>
    <t>SOCOMORE</t>
  </si>
  <si>
    <t>Supérieure à 03 ans</t>
  </si>
  <si>
    <t>EXTILUB</t>
  </si>
  <si>
    <t>SRB 2000 ZE</t>
  </si>
  <si>
    <t>https://safran.my.quickfds.com/site/data/MPSAFRAN-FR_FR/304956.pdf</t>
  </si>
  <si>
    <t>SUDINE EQUIP SPRAY</t>
  </si>
  <si>
    <t>KF (Nettoyant toute surface)</t>
  </si>
  <si>
    <t>ENCRE VERTE</t>
  </si>
  <si>
    <t>L'armoire est miniscule, les produits ne sont pas listés , de l'extérieur remplit des microfibres métalliques lui donnant une mauvaise appréciation visuelle, elle contient un produit qui a expiré depuis le 30/04/2025 donc d'une durée de plus d'un an. Elle contient également 5 produits neufs jamais utilisés.</t>
  </si>
  <si>
    <t>E9 (USINAGE)</t>
  </si>
  <si>
    <t>HUILE VASELINE PURE</t>
  </si>
  <si>
    <t>Ref 20-48</t>
  </si>
  <si>
    <t>BA 315 DURE</t>
  </si>
  <si>
    <t>NEUTRALYTE XXX</t>
  </si>
  <si>
    <t>https://safran.my.quickfds.com/site/data/MPSAFRAN-FR_FR/300447.pdf</t>
  </si>
  <si>
    <t>ARDROX NQ1</t>
  </si>
  <si>
    <t>https://safran.my.quickfds.com/site/data/MPSAFRAN-FR_FR/211968.pdf</t>
  </si>
  <si>
    <t>MAVOM</t>
  </si>
  <si>
    <t>ETHANOL ABSOLUTE</t>
  </si>
  <si>
    <t>ETHANOL ABSOLUTE SALE</t>
  </si>
  <si>
    <t xml:space="preserve">ACETONE 4K CNN </t>
  </si>
  <si>
    <t>GRINDING LIQUID EP 770</t>
  </si>
  <si>
    <t>SHERWIN PENETRANT DP 55 5l SP</t>
  </si>
  <si>
    <t>https://safran.my.quickfds.com/site/data/MPSAFRAN-FR_FR/214358.pdf</t>
  </si>
  <si>
    <t>BLUECOOL 10-5 (Action pour mathieu depuis le 17/06/2025)</t>
  </si>
  <si>
    <t>L'armoire est grande, légèrement conforme car sa cerure est endommagée. Les produits qu'elle contient sont toxiques, le bac à retention est présent, , elle indique une contenance maximale de stockage de maximum 160 litres, et une contenance maximale de retention de 80 l. elle contient un produit expiré depuis le 18/03/2026, des lots de produits à mettre en action depuis 2025.</t>
  </si>
  <si>
    <t>ZONE ICLK</t>
  </si>
  <si>
    <t>Produit</t>
  </si>
  <si>
    <t>Code</t>
  </si>
  <si>
    <t>Quantité présente</t>
  </si>
  <si>
    <t>Quantité utilisée</t>
  </si>
  <si>
    <t>Date de péremption</t>
  </si>
  <si>
    <t>FDS inférieur à 3 ans</t>
  </si>
  <si>
    <t>Evaluation du risque chimique</t>
  </si>
  <si>
    <t>Colonne12</t>
  </si>
  <si>
    <t>Colonne13</t>
  </si>
  <si>
    <t>Colonne14</t>
  </si>
  <si>
    <t>E11-E12 (MACHINE A LAVER)</t>
  </si>
  <si>
    <t>ETHANOL ABSOLUTE 5l</t>
  </si>
  <si>
    <t>P. LE BOURHIS</t>
  </si>
  <si>
    <t>PROPANOL 5l</t>
  </si>
  <si>
    <t>10 l</t>
  </si>
  <si>
    <t>BONDERITE C-AD VR-9</t>
  </si>
  <si>
    <t>Le dessus de l'armoire contient des encombrants, les linges d'étancheité sont usés et non mis à la poubelle.</t>
  </si>
  <si>
    <t>E12-E13 (DMG)</t>
  </si>
  <si>
    <t>F.BROCHE</t>
  </si>
  <si>
    <t>Eau purifiée 10 l</t>
  </si>
  <si>
    <t>ETHANOL  5 l</t>
  </si>
  <si>
    <t>ACETONE</t>
  </si>
  <si>
    <t>HYDRAULIC OIL 5l</t>
  </si>
  <si>
    <t>https://safran.my.quickfds.com/site/data/MPSAFRAN-FR_FR/302552.pdf</t>
  </si>
  <si>
    <t>L'armoire se démarque par la présence des pictogrammes d'interdiction , et sa vérification par le bureau véritas rn 10/2020. Un produit jamais utilisé  expiré depuis  févvrier 2025 est toujours présent à l'intérieur de l'armoire.</t>
  </si>
  <si>
    <t>F11 ( SOUDAGE 1)</t>
  </si>
  <si>
    <t xml:space="preserve">GRINDING LIQUID EP 770 </t>
  </si>
  <si>
    <t>5L</t>
  </si>
  <si>
    <t>D-BASF ARDROX 9PR5 400ml</t>
  </si>
  <si>
    <t>9U</t>
  </si>
  <si>
    <t xml:space="preserve">D-BASF ARDROX NQ1 </t>
  </si>
  <si>
    <t>ALCOOL ISOPROPYLIQUE</t>
  </si>
  <si>
    <t>2-PROPANOL 5L</t>
  </si>
  <si>
    <t>F11-F12 (INSPECTION)</t>
  </si>
  <si>
    <t xml:space="preserve">10 l </t>
  </si>
  <si>
    <t>L.GAKOVIC</t>
  </si>
  <si>
    <t>ENCRE VERTE XF 160</t>
  </si>
  <si>
    <t>non existante</t>
  </si>
  <si>
    <t>L'armoire est petite etconforme, le bac de retention est présent, une lingette usée est présente à l'intérieur, l'encre expiré depuis le mois d'avril 2025 n'est pas retirée</t>
  </si>
  <si>
    <t>F12-F13 (AJUSTAGE)</t>
  </si>
  <si>
    <t xml:space="preserve">LINGETTE IPA 85,15 % </t>
  </si>
  <si>
    <t>2 sachets</t>
  </si>
  <si>
    <t>https://safran.my.quickfds.com/site/data/MPSAFRAN-FR_FR/204294.pdf</t>
  </si>
  <si>
    <t>P.LE BOURHIS</t>
  </si>
  <si>
    <t xml:space="preserve">DISCOTON D5 CLEAN 2A </t>
  </si>
  <si>
    <t>https://safran.my.quickfds.com/site/data/MPSAFRAN-FR_FR/327104.pdf</t>
  </si>
  <si>
    <t>DOWSIL TM 1200 OS PRIMER CLEAR</t>
  </si>
  <si>
    <t>3*90ml</t>
  </si>
  <si>
    <t>4*4L</t>
  </si>
  <si>
    <t>NYCO GREASE GNCA 47</t>
  </si>
  <si>
    <t>1l</t>
  </si>
  <si>
    <t>https://safran.my.quickfds.com/site/data/MPSAFRAN-FR_FR/384087.pdf</t>
  </si>
  <si>
    <t xml:space="preserve">MAVOM </t>
  </si>
  <si>
    <t>ETHANOL ABSOLUTE 5 l</t>
  </si>
  <si>
    <t>5l*9</t>
  </si>
  <si>
    <t>5*5l</t>
  </si>
  <si>
    <t xml:space="preserve"> </t>
  </si>
  <si>
    <t>L'armoire a un poignet endommagé.</t>
  </si>
  <si>
    <t>F14</t>
  </si>
  <si>
    <t>Grande armoire neuve fermée à clef</t>
  </si>
  <si>
    <t>H11 ( CHAUDRONNERIE)</t>
  </si>
  <si>
    <t>D-BASF ARDROX NQ1</t>
  </si>
  <si>
    <t>4*400ml</t>
  </si>
  <si>
    <t>Thierry WERQUIN</t>
  </si>
  <si>
    <t xml:space="preserve">D-BASF 9 PR5 </t>
  </si>
  <si>
    <t>ALCOOL ISOPROPYIQUE 5 l</t>
  </si>
  <si>
    <t>5l*4</t>
  </si>
  <si>
    <t>ACETONE 4KCNN 4l</t>
  </si>
  <si>
    <t>4l*6</t>
  </si>
  <si>
    <t>ENERPAC HYDRAULIC OIL 5l</t>
  </si>
  <si>
    <t>10l</t>
  </si>
  <si>
    <t>https://safran.my.quickfds.com/site/data/MPSAFRAN-FR_FR/212437.pdf</t>
  </si>
  <si>
    <t>EAU PURIFIEE Franceean 10 l</t>
  </si>
  <si>
    <t>GEL SANIMAIN 5 l</t>
  </si>
  <si>
    <t>Armoire non conforme sur l'aspect physique ( elle ne se ferme pas)</t>
  </si>
  <si>
    <t>Categorie (ICLB)</t>
  </si>
  <si>
    <t>Valeur</t>
  </si>
  <si>
    <t>Expirés</t>
  </si>
  <si>
    <t>Exp 2026</t>
  </si>
  <si>
    <t>Sans code</t>
  </si>
  <si>
    <t>FDS &gt;3 ans</t>
  </si>
  <si>
    <t>Conformes</t>
  </si>
  <si>
    <t xml:space="preserve">Commentaires ICLB :	
Zone critique avec une forte non-conformité.	
Beaucoup de FDS sont obsolètes et les produits sont expirés.
Risque de sécurité élevé.
Priorité : retrait des FDS expirés + mise à jour  des FDS	</t>
  </si>
  <si>
    <t>Categorie (ICLK)</t>
  </si>
  <si>
    <t xml:space="preserve">ICLK est la Zone plus maîtrisée mais elle présente dérives : la présence de produits expirés et des FDS obsolètes, la gestion déchets à améliorer la  priorité : tri + mise en conformité				</t>
  </si>
  <si>
    <t>Analyse inventaire des produits  chimiques</t>
  </si>
  <si>
    <t>Indicateur</t>
  </si>
  <si>
    <t>Nombre</t>
  </si>
  <si>
    <t>Total</t>
  </si>
  <si>
    <t>Pourcentage</t>
  </si>
  <si>
    <t>Produits conformes</t>
  </si>
  <si>
    <t>Produits non conformes</t>
  </si>
  <si>
    <t>Produits expirés</t>
  </si>
  <si>
    <t>Produits expirant en 2026</t>
  </si>
  <si>
    <t>Produits sans code</t>
  </si>
  <si>
    <t>La formule qui permet de calculer le pourcentage : P=Nombre /Nombre Total *100</t>
  </si>
  <si>
    <t>Analyse des résultats :</t>
  </si>
  <si>
    <t>Armoires non conformes (fermeture / rétention / état) : ≈ 70 % non conformes
Armoires avec bac de rétention : ≈ 30 % conformes seulement</t>
  </si>
  <si>
    <t>22% de conformité : niveau très faible, dû à un manque de suivi et d'organisation.</t>
  </si>
  <si>
    <t>78% non conformes : LE stockage, LES FDS et la  gestion ne sont pas maîtrisés.</t>
  </si>
  <si>
    <t>24% produits expirés : une absence de contrôle des dates et retrait des produits expirés.</t>
  </si>
  <si>
    <t xml:space="preserve">28% vont expirer en 2026 </t>
  </si>
  <si>
    <t>10% sans code : manque de traçabilité.</t>
  </si>
  <si>
    <t>40% FDS absentes et 55% obsolètes : problème documentaire.</t>
  </si>
  <si>
    <t>70% armoires non conformes : défaut d'équipement et maintenance.</t>
  </si>
  <si>
    <t>Conclusion : la criticité est élevée, des actions urgentes sont  nécessaires.</t>
  </si>
  <si>
    <r>
      <rPr>
        <b/>
        <sz val="11"/>
        <color rgb="FF000000"/>
        <rFont val="Calibri"/>
        <scheme val="minor"/>
      </rPr>
      <t>Un produit est considéré comme non conforme</t>
    </r>
    <r>
      <rPr>
        <sz val="11"/>
        <color rgb="FF000000"/>
        <rFont val="Calibri"/>
        <scheme val="minor"/>
      </rPr>
      <t xml:space="preserve"> s’il ne respecte pas au moins une exigence SSE : documentation (FDS), traçabilité (code produit), validité (date de péremption), stockage (armoire, rangement), conformité réglementaire.
</t>
    </r>
  </si>
  <si>
    <t xml:space="preserve">
</t>
  </si>
  <si>
    <t>Dashboard SSE - Indicateurs clés</t>
  </si>
  <si>
    <t>Taux conformité</t>
  </si>
  <si>
    <t>22%</t>
  </si>
  <si>
    <t>78%</t>
  </si>
  <si>
    <t>FDS non existantes</t>
  </si>
  <si>
    <t>40%</t>
  </si>
  <si>
    <t>FDS &gt; 3 ans</t>
  </si>
  <si>
    <t>55%</t>
  </si>
  <si>
    <t>Armoires non conformes</t>
  </si>
  <si>
    <t>70%</t>
  </si>
  <si>
    <t>Produits bien rangés</t>
  </si>
  <si>
    <t>30%</t>
  </si>
  <si>
    <t>Pictogrammes OK</t>
  </si>
  <si>
    <t>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</si>
</sst>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</font>
    <font>
      <b/>
      <sz val="36"/>
      <name val="Calibri"/>
      <family val="2"/>
    </font>
    <font>
      <b/>
      <sz val="3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name val="Calibri"/>
      <family val="2"/>
    </font>
    <font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2" fillId="0" borderId="0"/>
    <xf numFmtId="43" fontId="21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17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1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9" fillId="0" borderId="0" xfId="0" applyFont="1"/>
    <xf numFmtId="9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/>
    <xf numFmtId="0" fontId="17" fillId="0" borderId="0" xfId="0" applyFont="1" applyAlignment="1">
      <alignment horizontal="center"/>
    </xf>
    <xf numFmtId="43" fontId="0" fillId="0" borderId="0" xfId="2" applyFont="1"/>
  </cellXfs>
  <cellStyles count="3">
    <cellStyle name="Lien hypertexte" xfId="1" builtinId="8"/>
    <cellStyle name="Milliers" xfId="2" builtinId="3"/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FD966"/>
          <bgColor rgb="FFFFD96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/>
    </dxf>
    <dxf>
      <alignment horizontal="general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b/>
      </font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Visualisation</a:t>
            </a:r>
            <a:r>
              <a:rPr lang="en-US" baseline="0"/>
              <a:t> des produits chimiques sur la ligne ICLB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Inventaire!$C$110</c:f>
              <c:strCache>
                <c:ptCount val="1"/>
                <c:pt idx="0">
                  <c:v>Valeur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6D-4AAD-BFB4-DE963E2965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6D-4AAD-BFB4-DE963E2965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6D-4AAD-BFB4-DE963E29657A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6D-4AAD-BFB4-DE963E2965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Inventaire!$B$111:$B$116</c:f>
              <c:strCache>
                <c:ptCount val="5"/>
                <c:pt idx="0">
                  <c:v>Expirés</c:v>
                </c:pt>
                <c:pt idx="1">
                  <c:v>Exp 2026</c:v>
                </c:pt>
                <c:pt idx="2">
                  <c:v>Sans code</c:v>
                </c:pt>
                <c:pt idx="3">
                  <c:v>FDS &gt;3 ans</c:v>
                </c:pt>
                <c:pt idx="4">
                  <c:v>Conformes</c:v>
                </c:pt>
              </c:strCache>
            </c:strRef>
          </c:cat>
          <c:val>
            <c:numRef>
              <c:f>Inventaire!$C$111:$C$116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5</c:v>
                </c:pt>
                <c:pt idx="3">
                  <c:v>25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D-4AAD-BFB4-DE963E2965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6988703"/>
        <c:axId val="32017567"/>
      </c:barChart>
      <c:catAx>
        <c:axId val="74698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Produits</a:t>
                </a:r>
                <a:r>
                  <a:rPr lang="fr-FR" baseline="0"/>
                  <a:t> chimiques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017567"/>
        <c:crosses val="autoZero"/>
        <c:auto val="1"/>
        <c:lblAlgn val="ctr"/>
        <c:lblOffset val="100"/>
        <c:noMultiLvlLbl val="0"/>
      </c:catAx>
      <c:valAx>
        <c:axId val="32017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4698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83616207349081362"/>
          <c:y val="0.31002150772820064"/>
          <c:w val="0.15602467542727727"/>
          <c:h val="0.521803281083371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Visualisation</a:t>
            </a:r>
            <a:r>
              <a:rPr lang="en-US" baseline="0"/>
              <a:t> produits chimiques sur ICLK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614069517906"/>
          <c:y val="0.1902314814814815"/>
          <c:w val="0.8187975173316101"/>
          <c:h val="0.632213642581255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Inventaire!$C$120</c:f>
              <c:strCache>
                <c:ptCount val="1"/>
                <c:pt idx="0">
                  <c:v>Valeur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B2-4196-A6BC-7EED4BD9DB0F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B2-4196-A6BC-7EED4BD9DB0F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B2-4196-A6BC-7EED4BD9DB0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B2-4196-A6BC-7EED4BD9DB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Inventaire!$B$121:$B$126</c:f>
              <c:strCache>
                <c:ptCount val="5"/>
                <c:pt idx="0">
                  <c:v>Expirés</c:v>
                </c:pt>
                <c:pt idx="1">
                  <c:v>Exp 2026</c:v>
                </c:pt>
                <c:pt idx="2">
                  <c:v>Sans code</c:v>
                </c:pt>
                <c:pt idx="3">
                  <c:v>FDS &gt;3 ans</c:v>
                </c:pt>
                <c:pt idx="4">
                  <c:v>Conformes</c:v>
                </c:pt>
              </c:strCache>
            </c:strRef>
          </c:cat>
          <c:val>
            <c:numRef>
              <c:f>Inventaire!$C$121:$C$126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2-4196-A6BC-7EED4BD9DB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2513151"/>
        <c:axId val="322511231"/>
      </c:barChart>
      <c:catAx>
        <c:axId val="32251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Produits</a:t>
                </a:r>
                <a:r>
                  <a:rPr lang="fr-FR" baseline="0"/>
                  <a:t> chimiques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2511231"/>
        <c:crosses val="autoZero"/>
        <c:auto val="1"/>
        <c:lblAlgn val="ctr"/>
        <c:lblOffset val="100"/>
        <c:noMultiLvlLbl val="0"/>
      </c:catAx>
      <c:valAx>
        <c:axId val="3225112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251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Analyse inventaire des produits chimiques</a:t>
            </a:r>
          </a:p>
        </c:rich>
      </c:tx>
      <c:layout>
        <c:manualLayout>
          <c:xMode val="edge"/>
          <c:yMode val="edge"/>
          <c:x val="0.2754238800957961"/>
          <c:y val="6.3222563912978327E-3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'Analyse + Commentaires'!$B$3</c:f>
              <c:strCache>
                <c:ptCount val="1"/>
                <c:pt idx="0">
                  <c:v>Nombre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'Analyse + Commentaires'!$A$4:$A$8</c:f>
              <c:strCache>
                <c:ptCount val="5"/>
                <c:pt idx="0">
                  <c:v>Produits conformes</c:v>
                </c:pt>
                <c:pt idx="1">
                  <c:v>Produits non conformes</c:v>
                </c:pt>
                <c:pt idx="2">
                  <c:v>Produits expirés</c:v>
                </c:pt>
                <c:pt idx="3">
                  <c:v>Produits expirant en 2026</c:v>
                </c:pt>
                <c:pt idx="4">
                  <c:v>Produits sans code</c:v>
                </c:pt>
              </c:strCache>
            </c:strRef>
          </c:cat>
          <c:val>
            <c:numRef>
              <c:f>'Analyse + Commentaires'!$B$4:$B$8</c:f>
              <c:numCache>
                <c:formatCode>General</c:formatCode>
                <c:ptCount val="5"/>
                <c:pt idx="0">
                  <c:v>15</c:v>
                </c:pt>
                <c:pt idx="1">
                  <c:v>55</c:v>
                </c:pt>
                <c:pt idx="2">
                  <c:v>17</c:v>
                </c:pt>
                <c:pt idx="3">
                  <c:v>20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0-46B8-9275-B2A2A66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Produits chimiques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0</xdr:row>
      <xdr:rowOff>30480</xdr:rowOff>
    </xdr:from>
    <xdr:to>
      <xdr:col>3</xdr:col>
      <xdr:colOff>335280</xdr:colOff>
      <xdr:row>8</xdr:row>
      <xdr:rowOff>30480</xdr:rowOff>
    </xdr:to>
    <xdr:pic>
      <xdr:nvPicPr>
        <xdr:cNvPr id="2" name="Image 2" descr="SAFR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" y="30480"/>
          <a:ext cx="4564380" cy="73152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121920</xdr:rowOff>
    </xdr:from>
    <xdr:to>
      <xdr:col>5</xdr:col>
      <xdr:colOff>7620</xdr:colOff>
      <xdr:row>0</xdr:row>
      <xdr:rowOff>853440</xdr:rowOff>
    </xdr:to>
    <xdr:pic>
      <xdr:nvPicPr>
        <xdr:cNvPr id="4" name="Image 2" descr="SAFRA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440" y="121920"/>
          <a:ext cx="2964180" cy="73152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1371600</xdr:colOff>
      <xdr:row>110</xdr:row>
      <xdr:rowOff>3810</xdr:rowOff>
    </xdr:from>
    <xdr:to>
      <xdr:col>6</xdr:col>
      <xdr:colOff>685800</xdr:colOff>
      <xdr:row>117</xdr:row>
      <xdr:rowOff>777240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9F436F0-69F6-28A0-5CBB-56A11D15A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1203960</xdr:colOff>
      <xdr:row>118</xdr:row>
      <xdr:rowOff>26670</xdr:rowOff>
    </xdr:from>
    <xdr:to>
      <xdr:col>6</xdr:col>
      <xdr:colOff>792480</xdr:colOff>
      <xdr:row>131</xdr:row>
      <xdr:rowOff>68580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BD4EAF8-0B69-3508-FA2C-A19CE7C0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5</xdr:row>
      <xdr:rowOff>95250</xdr:rowOff>
    </xdr:from>
    <xdr:to>
      <xdr:col>13</xdr:col>
      <xdr:colOff>314325</xdr:colOff>
      <xdr:row>22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6DA1659-6F9D-4E68-A87D-72E2E874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6" displayName="Tableau6" ref="B10:H35" totalsRowShown="0" headerRowDxfId="34" dataDxfId="33">
  <autoFilter ref="B10:H35" xr:uid="{00000000-0009-0000-0100-000001000000}"/>
  <tableColumns count="7">
    <tableColumn id="1" xr3:uid="{00000000-0010-0000-0000-000001000000}" name="Domaine" dataDxfId="32"/>
    <tableColumn id="2" xr3:uid="{00000000-0010-0000-0000-000002000000}" name="Exigence / Point de contrôle" dataDxfId="31"/>
    <tableColumn id="3" xr3:uid="{00000000-0010-0000-0000-000003000000}" name="Question de contrôle" dataDxfId="30"/>
    <tableColumn id="4" xr3:uid="{00000000-0010-0000-0000-000004000000}" name="Conformité (Oui/Non)" dataDxfId="29"/>
    <tableColumn id="5" xr3:uid="{00000000-0010-0000-0000-000005000000}" name="Preuves / Observations" dataDxfId="28"/>
    <tableColumn id="10" xr3:uid="{00000000-0010-0000-0000-00000A000000}" name="Actions à mener" dataDxfId="27"/>
    <tableColumn id="11" xr3:uid="{00000000-0010-0000-0000-00000B000000}" name="Responsable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" displayName="Tableau1" ref="A3:AZ63" totalsRowShown="0">
  <autoFilter ref="A3:AZ63" xr:uid="{00000000-0009-0000-0100-000002000000}"/>
  <tableColumns count="52">
    <tableColumn id="1" xr3:uid="{00000000-0010-0000-0100-000001000000}" name="Date"/>
    <tableColumn id="2" xr3:uid="{00000000-0010-0000-0100-000002000000}" name="Contrôleur"/>
    <tableColumn id="3" xr3:uid="{00000000-0010-0000-0100-000003000000}" name="Zone"/>
    <tableColumn id="4" xr3:uid="{00000000-0010-0000-0100-000004000000}" name="Armoire"/>
    <tableColumn id="5" xr3:uid="{00000000-0010-0000-0100-000005000000}" name="Procédure"/>
    <tableColumn id="6" xr3:uid="{00000000-0010-0000-0100-000006000000}" name="Compatibilité"/>
    <tableColumn id="7" xr3:uid="{00000000-0010-0000-0100-000007000000}" name="Liste  de Produits"/>
    <tableColumn id="10" xr3:uid="{00000000-0010-0000-0100-00000A000000}" name="Inventaire "/>
    <tableColumn id="11" xr3:uid="{00000000-0010-0000-0100-00000B000000}" name="Bac rétention"/>
    <tableColumn id="12" xr3:uid="{00000000-0010-0000-0100-00000C000000}" name="Etat"/>
    <tableColumn id="13" xr3:uid="{00000000-0010-0000-0100-00000D000000}" name="Pictogrammes"/>
    <tableColumn id="14" xr3:uid="{00000000-0010-0000-0100-00000E000000}" name="Rangement"/>
    <tableColumn id="15" xr3:uid="{00000000-0010-0000-0100-00000F000000}" name="Compatibilité  des produits"/>
    <tableColumn id="16" xr3:uid="{00000000-0010-0000-0100-000010000000}" name="Produits mélangés"/>
    <tableColumn id="17" xr3:uid="{00000000-0010-0000-0100-000011000000}" name="Plan urgence"/>
    <tableColumn id="18" xr3:uid="{00000000-0010-0000-0100-000012000000}" name="Moyens disponibles"/>
    <tableColumn id="19" xr3:uid="{00000000-0010-0000-0100-000013000000}" name="Conformité"/>
    <tableColumn id="20" xr3:uid="{00000000-0010-0000-0100-000014000000}" name="Colonne20"/>
    <tableColumn id="21" xr3:uid="{00000000-0010-0000-0100-000015000000}" name="Colonne21"/>
    <tableColumn id="22" xr3:uid="{00000000-0010-0000-0100-000016000000}" name="Colonne22"/>
    <tableColumn id="23" xr3:uid="{00000000-0010-0000-0100-000017000000}" name="Colonne23"/>
    <tableColumn id="24" xr3:uid="{00000000-0010-0000-0100-000018000000}" name="Colonne24"/>
    <tableColumn id="25" xr3:uid="{00000000-0010-0000-0100-000019000000}" name="Colonne25"/>
    <tableColumn id="26" xr3:uid="{00000000-0010-0000-0100-00001A000000}" name="Colonne26"/>
    <tableColumn id="27" xr3:uid="{00000000-0010-0000-0100-00001B000000}" name="Colonne27"/>
    <tableColumn id="28" xr3:uid="{00000000-0010-0000-0100-00001C000000}" name="Colonne28"/>
    <tableColumn id="29" xr3:uid="{00000000-0010-0000-0100-00001D000000}" name="Colonne29"/>
    <tableColumn id="30" xr3:uid="{00000000-0010-0000-0100-00001E000000}" name="Colonne30"/>
    <tableColumn id="31" xr3:uid="{00000000-0010-0000-0100-00001F000000}" name="Colonne31"/>
    <tableColumn id="32" xr3:uid="{00000000-0010-0000-0100-000020000000}" name="Colonne32"/>
    <tableColumn id="33" xr3:uid="{00000000-0010-0000-0100-000021000000}" name="Colonne33"/>
    <tableColumn id="34" xr3:uid="{00000000-0010-0000-0100-000022000000}" name="Colonne34"/>
    <tableColumn id="35" xr3:uid="{00000000-0010-0000-0100-000023000000}" name="Colonne35"/>
    <tableColumn id="36" xr3:uid="{00000000-0010-0000-0100-000024000000}" name="Colonne36"/>
    <tableColumn id="37" xr3:uid="{00000000-0010-0000-0100-000025000000}" name="Colonne37"/>
    <tableColumn id="38" xr3:uid="{00000000-0010-0000-0100-000026000000}" name="Colonne38"/>
    <tableColumn id="39" xr3:uid="{00000000-0010-0000-0100-000027000000}" name="Colonne39"/>
    <tableColumn id="40" xr3:uid="{00000000-0010-0000-0100-000028000000}" name="Colonne40"/>
    <tableColumn id="41" xr3:uid="{00000000-0010-0000-0100-000029000000}" name="Colonne41"/>
    <tableColumn id="42" xr3:uid="{00000000-0010-0000-0100-00002A000000}" name="Colonne42"/>
    <tableColumn id="43" xr3:uid="{00000000-0010-0000-0100-00002B000000}" name="Colonne43"/>
    <tableColumn id="44" xr3:uid="{00000000-0010-0000-0100-00002C000000}" name="Colonne44"/>
    <tableColumn id="45" xr3:uid="{00000000-0010-0000-0100-00002D000000}" name="Colonne45"/>
    <tableColumn id="46" xr3:uid="{00000000-0010-0000-0100-00002E000000}" name="Colonne46"/>
    <tableColumn id="47" xr3:uid="{00000000-0010-0000-0100-00002F000000}" name="Colonne47"/>
    <tableColumn id="48" xr3:uid="{00000000-0010-0000-0100-000030000000}" name="Colonne48"/>
    <tableColumn id="49" xr3:uid="{00000000-0010-0000-0100-000031000000}" name="Colonne49"/>
    <tableColumn id="50" xr3:uid="{00000000-0010-0000-0100-000032000000}" name="Colonne50"/>
    <tableColumn id="51" xr3:uid="{00000000-0010-0000-0100-000033000000}" name="Colonne51"/>
    <tableColumn id="52" xr3:uid="{00000000-0010-0000-0100-000034000000}" name="Colonne52"/>
    <tableColumn id="53" xr3:uid="{00000000-0010-0000-0100-000035000000}" name="Colonne53"/>
    <tableColumn id="54" xr3:uid="{00000000-0010-0000-0100-000036000000}" name="Colonne5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2" displayName="Tableau2" ref="A1:N56" totalsRowShown="0" dataDxfId="25">
  <autoFilter ref="A1:N56" xr:uid="{00000000-0009-0000-0100-000003000000}"/>
  <tableColumns count="14">
    <tableColumn id="1" xr3:uid="{00000000-0010-0000-0200-000001000000}" name="Armoire" dataDxfId="24"/>
    <tableColumn id="2" xr3:uid="{00000000-0010-0000-0200-000002000000}" name="Produit(s) Chimique(s)identifié(s)" dataDxfId="23"/>
    <tableColumn id="14" xr3:uid="{00000000-0010-0000-0200-00000E000000}" name="Code Produit" dataDxfId="22"/>
    <tableColumn id="3" xr3:uid="{00000000-0010-0000-0200-000003000000}" name="Quantité présente " dataDxfId="21"/>
    <tableColumn id="13" xr3:uid="{00000000-0010-0000-0200-00000D000000}" name="Quantité Utilisée" dataDxfId="20"/>
    <tableColumn id="15" xr3:uid="{00000000-0010-0000-0200-00000F000000}" name="Volume maximal stocké" dataDxfId="19"/>
    <tableColumn id="4" xr3:uid="{00000000-0010-0000-0200-000004000000}" name="Date péremption" dataDxfId="18"/>
    <tableColumn id="5" xr3:uid="{00000000-0010-0000-0200-000005000000}" name="FDS (Inférieur à 3 ans)" dataDxfId="17"/>
    <tableColumn id="6" xr3:uid="{00000000-0010-0000-0200-000006000000}" name="Conformité" dataDxfId="16"/>
    <tableColumn id="7" xr3:uid="{00000000-0010-0000-0200-000007000000}" name="Responsable" dataDxfId="15"/>
    <tableColumn id="8" xr3:uid="{00000000-0010-0000-0200-000008000000}" name="Colonne8" dataDxfId="14"/>
    <tableColumn id="9" xr3:uid="{00000000-0010-0000-0200-000009000000}" name="Colonne9" dataDxfId="13"/>
    <tableColumn id="10" xr3:uid="{00000000-0010-0000-0200-00000A000000}" name="Colonne10" dataDxfId="12"/>
    <tableColumn id="11" xr3:uid="{00000000-0010-0000-0200-00000B000000}" name="Colonne11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5" displayName="Tableau5" ref="A59:M107" totalsRowShown="0">
  <autoFilter ref="A59:M107" xr:uid="{00000000-0009-0000-0100-000004000000}"/>
  <tableColumns count="13">
    <tableColumn id="1" xr3:uid="{00000000-0010-0000-0300-000001000000}" name="Armoire" dataDxfId="10"/>
    <tableColumn id="2" xr3:uid="{00000000-0010-0000-0300-000002000000}" name="Produit" dataDxfId="9"/>
    <tableColumn id="3" xr3:uid="{00000000-0010-0000-0300-000003000000}" name="Code" dataDxfId="8"/>
    <tableColumn id="4" xr3:uid="{00000000-0010-0000-0300-000004000000}" name="Quantité présente" dataDxfId="7"/>
    <tableColumn id="5" xr3:uid="{00000000-0010-0000-0300-000005000000}" name="Quantité utilisée" dataDxfId="6"/>
    <tableColumn id="6" xr3:uid="{00000000-0010-0000-0300-000006000000}" name="Volume maximal stocké" dataDxfId="5"/>
    <tableColumn id="7" xr3:uid="{00000000-0010-0000-0300-000007000000}" name="Date de péremption" dataDxfId="4"/>
    <tableColumn id="8" xr3:uid="{00000000-0010-0000-0300-000008000000}" name="FDS inférieur à 3 ans" dataDxfId="3"/>
    <tableColumn id="10" xr3:uid="{00000000-0010-0000-0300-00000A000000}" name="Responsable"/>
    <tableColumn id="11" xr3:uid="{00000000-0010-0000-0300-00000B000000}" name="Evaluation du risque chimique"/>
    <tableColumn id="12" xr3:uid="{00000000-0010-0000-0300-00000C000000}" name="Colonne12"/>
    <tableColumn id="13" xr3:uid="{00000000-0010-0000-0300-00000D000000}" name="Colonne13"/>
    <tableColumn id="14" xr3:uid="{00000000-0010-0000-0300-00000E000000}" name="Colonne14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D5A7A9-9468-4D68-BD04-86878BFD9451}" name="Tableau9" displayName="Tableau9" ref="B110:C116" totalsRowShown="0" headerRowDxfId="2">
  <autoFilter ref="B110:C116" xr:uid="{58D5A7A9-9468-4D68-BD04-86878BFD9451}"/>
  <tableColumns count="2">
    <tableColumn id="1" xr3:uid="{936E98E9-0653-47C1-ABA4-553666C60264}" name="Categorie (ICLB)"/>
    <tableColumn id="2" xr3:uid="{E8D7D114-9A04-410E-95F2-F51E38E85623}" name="Valeu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A66EAA-374E-4D18-AE91-02442A327301}" name="Tableau10" displayName="Tableau10" ref="B120:C126" totalsRowShown="0">
  <autoFilter ref="B120:C126" xr:uid="{FCA66EAA-374E-4D18-AE91-02442A327301}"/>
  <tableColumns count="2">
    <tableColumn id="1" xr3:uid="{88F3B695-5F55-4B26-A28E-FB5832F55211}" name="Categorie (ICLK)"/>
    <tableColumn id="2" xr3:uid="{14C85254-FACB-466B-B141-94A1C29CE9A4}" name="Valeu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A74A87-27D8-448B-B1B7-470E77799274}" name="Tableau7" displayName="Tableau7" ref="A3:D10" totalsRowShown="0" headerRowDxfId="37">
  <autoFilter ref="A3:D10" xr:uid="{92A74A87-27D8-448B-B1B7-470E77799274}"/>
  <tableColumns count="4">
    <tableColumn id="1" xr3:uid="{C119217D-B1F5-4F98-8EC6-0644E738A8FA}" name="Indicateur"/>
    <tableColumn id="2" xr3:uid="{3AD09A03-BBB2-45B1-8197-39B2CE074027}" name="Nombre"/>
    <tableColumn id="3" xr3:uid="{4F59514B-4CDF-480F-9C11-389F4801FFB1}" name="Total" dataDxfId="36"/>
    <tableColumn id="4" xr3:uid="{4862B8EE-CC9F-4DDC-927B-2E2C656DC060}" name="Pourcentage" dataDxfId="3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ABA965-DB19-4A18-BAA4-574C7F958249}" name="Tableau8" displayName="Tableau8" ref="D4:E10" totalsRowShown="0">
  <autoFilter ref="D4:E10" xr:uid="{6FABA965-DB19-4A18-BAA4-574C7F958249}"/>
  <tableColumns count="2">
    <tableColumn id="1" xr3:uid="{FE5D104D-58E6-416E-A902-C4C6569C57D0}" name="Taux conformité" dataDxfId="1"/>
    <tableColumn id="2" xr3:uid="{D40FCAEF-7A57-4066-B24A-7EE0426FC720}" name="22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topLeftCell="F12" workbookViewId="0">
      <selection activeCell="G23" sqref="G23"/>
    </sheetView>
  </sheetViews>
  <sheetFormatPr baseColWidth="10" defaultColWidth="11.44140625" defaultRowHeight="14.4" x14ac:dyDescent="0.3"/>
  <cols>
    <col min="2" max="2" width="30.33203125" customWidth="1"/>
    <col min="3" max="3" width="45.33203125" customWidth="1"/>
    <col min="4" max="4" width="60.88671875" customWidth="1"/>
    <col min="5" max="5" width="25.44140625" customWidth="1"/>
    <col min="6" max="6" width="97" customWidth="1"/>
    <col min="7" max="7" width="137.44140625" customWidth="1"/>
    <col min="8" max="8" width="32.33203125" customWidth="1"/>
    <col min="9" max="9" width="33.6640625" customWidth="1"/>
    <col min="11" max="11" width="19" customWidth="1"/>
    <col min="12" max="12" width="20.33203125" customWidth="1"/>
    <col min="13" max="13" width="25.6640625" customWidth="1"/>
  </cols>
  <sheetData>
    <row r="1" spans="2:9" x14ac:dyDescent="0.3">
      <c r="B1" s="51" t="s">
        <v>0</v>
      </c>
      <c r="C1" s="52"/>
      <c r="D1" s="52"/>
    </row>
    <row r="2" spans="2:9" x14ac:dyDescent="0.3">
      <c r="B2" s="52"/>
      <c r="C2" s="52"/>
      <c r="D2" s="52"/>
    </row>
    <row r="3" spans="2:9" x14ac:dyDescent="0.3">
      <c r="B3" s="52"/>
      <c r="C3" s="52"/>
      <c r="D3" s="52"/>
    </row>
    <row r="4" spans="2:9" x14ac:dyDescent="0.3">
      <c r="B4" s="52"/>
      <c r="C4" s="52"/>
      <c r="D4" s="52"/>
    </row>
    <row r="5" spans="2:9" x14ac:dyDescent="0.3">
      <c r="B5" s="52"/>
      <c r="C5" s="52"/>
      <c r="D5" s="52"/>
    </row>
    <row r="6" spans="2:9" x14ac:dyDescent="0.3">
      <c r="B6" s="52"/>
      <c r="C6" s="52"/>
      <c r="D6" s="52"/>
    </row>
    <row r="7" spans="2:9" x14ac:dyDescent="0.3">
      <c r="B7" s="52"/>
      <c r="C7" s="52"/>
      <c r="D7" s="52"/>
    </row>
    <row r="8" spans="2:9" x14ac:dyDescent="0.3">
      <c r="B8" s="52"/>
      <c r="C8" s="52"/>
      <c r="D8" s="52"/>
    </row>
    <row r="10" spans="2:9" x14ac:dyDescent="0.3">
      <c r="B10" s="29" t="s">
        <v>1</v>
      </c>
      <c r="C10" s="29" t="s">
        <v>2</v>
      </c>
      <c r="D10" s="29" t="s">
        <v>3</v>
      </c>
      <c r="E10" s="29" t="s">
        <v>4</v>
      </c>
      <c r="F10" s="29" t="s">
        <v>5</v>
      </c>
      <c r="G10" s="29" t="s">
        <v>6</v>
      </c>
      <c r="H10" s="29" t="s">
        <v>7</v>
      </c>
      <c r="I10" s="2"/>
    </row>
    <row r="11" spans="2:9" x14ac:dyDescent="0.3">
      <c r="B11" s="30" t="s">
        <v>8</v>
      </c>
      <c r="C11" s="30" t="s">
        <v>9</v>
      </c>
      <c r="D11" s="30" t="s">
        <v>10</v>
      </c>
      <c r="E11" s="9" t="s">
        <v>11</v>
      </c>
      <c r="F11" s="30" t="s">
        <v>12</v>
      </c>
      <c r="G11" s="22" t="s">
        <v>13</v>
      </c>
      <c r="H11" s="9"/>
    </row>
    <row r="12" spans="2:9" ht="43.5" customHeight="1" x14ac:dyDescent="0.3">
      <c r="B12" s="30" t="s">
        <v>14</v>
      </c>
      <c r="C12" s="30" t="s">
        <v>15</v>
      </c>
      <c r="D12" s="30" t="s">
        <v>16</v>
      </c>
      <c r="E12" s="9" t="s">
        <v>11</v>
      </c>
      <c r="F12" s="30" t="s">
        <v>17</v>
      </c>
      <c r="G12" s="39" t="s">
        <v>18</v>
      </c>
      <c r="H12" s="30"/>
    </row>
    <row r="13" spans="2:9" ht="47.25" customHeight="1" x14ac:dyDescent="0.3">
      <c r="B13" s="30" t="s">
        <v>19</v>
      </c>
      <c r="C13" s="30" t="s">
        <v>20</v>
      </c>
      <c r="D13" s="30" t="s">
        <v>21</v>
      </c>
      <c r="E13" s="9" t="s">
        <v>22</v>
      </c>
      <c r="F13" s="40" t="s">
        <v>0</v>
      </c>
      <c r="G13" s="41" t="s">
        <v>23</v>
      </c>
      <c r="H13" s="30"/>
    </row>
    <row r="14" spans="2:9" x14ac:dyDescent="0.3">
      <c r="B14" s="30" t="s">
        <v>24</v>
      </c>
      <c r="C14" s="30" t="s">
        <v>25</v>
      </c>
      <c r="D14" s="30" t="s">
        <v>26</v>
      </c>
      <c r="E14" s="9"/>
      <c r="F14" s="30"/>
      <c r="H14" s="30"/>
    </row>
    <row r="15" spans="2:9" ht="28.8" x14ac:dyDescent="0.3">
      <c r="B15" s="30" t="s">
        <v>27</v>
      </c>
      <c r="C15" s="30" t="s">
        <v>28</v>
      </c>
      <c r="D15" s="30" t="s">
        <v>29</v>
      </c>
      <c r="E15" s="38">
        <v>0.25</v>
      </c>
      <c r="F15" s="30"/>
      <c r="G15" s="41" t="s">
        <v>30</v>
      </c>
      <c r="H15" s="30"/>
    </row>
    <row r="16" spans="2:9" x14ac:dyDescent="0.3">
      <c r="B16" s="30" t="s">
        <v>31</v>
      </c>
      <c r="C16" s="30" t="s">
        <v>32</v>
      </c>
      <c r="D16" s="30" t="s">
        <v>33</v>
      </c>
      <c r="E16" s="9"/>
      <c r="F16" s="30"/>
      <c r="H16" s="30"/>
    </row>
    <row r="17" spans="2:8" ht="45.75" customHeight="1" x14ac:dyDescent="0.3">
      <c r="B17" s="30" t="s">
        <v>34</v>
      </c>
      <c r="C17" s="30" t="s">
        <v>35</v>
      </c>
      <c r="D17" s="30" t="s">
        <v>36</v>
      </c>
      <c r="E17" s="9" t="s">
        <v>37</v>
      </c>
      <c r="F17" s="30" t="s">
        <v>38</v>
      </c>
      <c r="G17" s="42" t="s">
        <v>39</v>
      </c>
      <c r="H17" s="30"/>
    </row>
    <row r="18" spans="2:8" ht="28.8" x14ac:dyDescent="0.3">
      <c r="B18" s="30" t="s">
        <v>40</v>
      </c>
      <c r="C18" s="30" t="s">
        <v>41</v>
      </c>
      <c r="D18" s="30" t="s">
        <v>42</v>
      </c>
      <c r="E18" s="9" t="s">
        <v>11</v>
      </c>
      <c r="F18" s="30" t="s">
        <v>43</v>
      </c>
      <c r="G18" s="22" t="s">
        <v>44</v>
      </c>
      <c r="H18" s="30"/>
    </row>
    <row r="19" spans="2:8" x14ac:dyDescent="0.3">
      <c r="B19" s="30" t="s">
        <v>40</v>
      </c>
      <c r="C19" s="30" t="s">
        <v>45</v>
      </c>
      <c r="D19" s="30" t="s">
        <v>46</v>
      </c>
      <c r="E19" s="9" t="s">
        <v>37</v>
      </c>
      <c r="F19" s="30" t="s">
        <v>43</v>
      </c>
      <c r="H19" s="30"/>
    </row>
    <row r="20" spans="2:8" x14ac:dyDescent="0.3">
      <c r="B20" s="30" t="s">
        <v>47</v>
      </c>
      <c r="C20" s="30" t="s">
        <v>48</v>
      </c>
      <c r="D20" s="30" t="s">
        <v>49</v>
      </c>
      <c r="E20" s="9"/>
      <c r="F20" s="30"/>
      <c r="H20" s="30"/>
    </row>
    <row r="21" spans="2:8" x14ac:dyDescent="0.3">
      <c r="B21" s="30" t="s">
        <v>47</v>
      </c>
      <c r="C21" s="30" t="s">
        <v>50</v>
      </c>
      <c r="D21" s="30" t="s">
        <v>51</v>
      </c>
      <c r="E21" s="30"/>
      <c r="F21" s="30"/>
      <c r="H21" s="30"/>
    </row>
    <row r="22" spans="2:8" x14ac:dyDescent="0.3">
      <c r="B22" s="30"/>
      <c r="C22" s="30"/>
      <c r="D22" s="30"/>
      <c r="E22" s="30"/>
      <c r="F22" s="30"/>
      <c r="H22" s="30"/>
    </row>
    <row r="23" spans="2:8" x14ac:dyDescent="0.3">
      <c r="B23" s="30"/>
      <c r="C23" s="30"/>
      <c r="D23" s="30"/>
      <c r="E23" s="30"/>
      <c r="F23" s="30"/>
      <c r="H23" s="30"/>
    </row>
    <row r="24" spans="2:8" x14ac:dyDescent="0.3">
      <c r="B24" s="30"/>
      <c r="C24" s="30"/>
      <c r="D24" s="30"/>
      <c r="E24" s="30"/>
      <c r="F24" s="30"/>
      <c r="H24" s="30"/>
    </row>
    <row r="25" spans="2:8" x14ac:dyDescent="0.3">
      <c r="B25" s="30"/>
      <c r="C25" s="30"/>
      <c r="D25" s="30"/>
      <c r="E25" s="30"/>
      <c r="F25" s="30"/>
      <c r="H25" s="30"/>
    </row>
    <row r="26" spans="2:8" x14ac:dyDescent="0.3">
      <c r="B26" s="30"/>
      <c r="C26" s="30"/>
      <c r="D26" s="30"/>
      <c r="E26" s="30"/>
      <c r="F26" s="30"/>
      <c r="H26" s="30"/>
    </row>
    <row r="27" spans="2:8" x14ac:dyDescent="0.3">
      <c r="B27" s="30"/>
      <c r="C27" s="30"/>
      <c r="D27" s="30"/>
      <c r="E27" s="30"/>
      <c r="F27" s="30"/>
      <c r="H27" s="30"/>
    </row>
    <row r="28" spans="2:8" x14ac:dyDescent="0.3">
      <c r="B28" s="30"/>
      <c r="C28" s="30"/>
      <c r="D28" s="30"/>
      <c r="E28" s="30"/>
      <c r="F28" s="30"/>
      <c r="H28" s="30"/>
    </row>
    <row r="29" spans="2:8" x14ac:dyDescent="0.3">
      <c r="B29" s="30"/>
      <c r="C29" s="30"/>
      <c r="D29" s="30"/>
      <c r="E29" s="30"/>
      <c r="F29" s="30"/>
      <c r="H29" s="30"/>
    </row>
    <row r="30" spans="2:8" x14ac:dyDescent="0.3">
      <c r="B30" s="30"/>
      <c r="C30" s="30"/>
      <c r="D30" s="30"/>
      <c r="E30" s="30"/>
      <c r="F30" s="30"/>
      <c r="H30" s="30"/>
    </row>
    <row r="31" spans="2:8" x14ac:dyDescent="0.3">
      <c r="B31" s="30"/>
      <c r="C31" s="30"/>
      <c r="D31" s="30"/>
      <c r="E31" s="30"/>
      <c r="F31" s="30"/>
      <c r="H31" s="30"/>
    </row>
    <row r="32" spans="2:8" x14ac:dyDescent="0.3">
      <c r="B32" s="30"/>
      <c r="C32" s="30"/>
      <c r="D32" s="30"/>
      <c r="E32" s="30"/>
      <c r="F32" s="30"/>
      <c r="H32" s="30"/>
    </row>
    <row r="33" spans="2:8" x14ac:dyDescent="0.3">
      <c r="B33" s="30"/>
      <c r="C33" s="30"/>
      <c r="D33" s="30"/>
      <c r="E33" s="30"/>
      <c r="F33" s="30"/>
      <c r="H33" s="30"/>
    </row>
    <row r="34" spans="2:8" x14ac:dyDescent="0.3">
      <c r="B34" s="30"/>
      <c r="C34" s="30"/>
      <c r="D34" s="30"/>
      <c r="E34" s="30"/>
      <c r="F34" s="30"/>
      <c r="H34" s="30"/>
    </row>
    <row r="35" spans="2:8" x14ac:dyDescent="0.3">
      <c r="B35" s="30"/>
      <c r="C35" s="30"/>
      <c r="D35" s="30"/>
      <c r="E35" s="30"/>
      <c r="F35" s="30"/>
      <c r="H35" s="30"/>
    </row>
    <row r="37" spans="2:8" x14ac:dyDescent="0.3">
      <c r="B37" s="2" t="s">
        <v>52</v>
      </c>
    </row>
    <row r="38" spans="2:8" x14ac:dyDescent="0.3">
      <c r="B38" s="37" t="s">
        <v>53</v>
      </c>
    </row>
    <row r="39" spans="2:8" x14ac:dyDescent="0.3">
      <c r="B39" s="37" t="s">
        <v>54</v>
      </c>
    </row>
    <row r="40" spans="2:8" x14ac:dyDescent="0.3">
      <c r="B40" s="37" t="s">
        <v>55</v>
      </c>
    </row>
  </sheetData>
  <mergeCells count="1">
    <mergeCell ref="B1:D8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6"/>
  <sheetViews>
    <sheetView topLeftCell="G9" workbookViewId="0">
      <selection activeCell="Q21" sqref="Q21"/>
    </sheetView>
  </sheetViews>
  <sheetFormatPr baseColWidth="10" defaultColWidth="8.88671875" defaultRowHeight="14.4" x14ac:dyDescent="0.3"/>
  <cols>
    <col min="1" max="1" width="10.88671875" customWidth="1"/>
    <col min="2" max="3" width="16.6640625" customWidth="1"/>
    <col min="4" max="4" width="10.88671875" customWidth="1"/>
    <col min="5" max="5" width="12.5546875" customWidth="1"/>
    <col min="6" max="6" width="16.33203125" customWidth="1"/>
    <col min="7" max="7" width="18" customWidth="1"/>
    <col min="8" max="8" width="18.6640625" customWidth="1"/>
    <col min="9" max="9" width="28.33203125" customWidth="1"/>
    <col min="10" max="10" width="23.5546875" customWidth="1"/>
    <col min="11" max="11" width="22.88671875" customWidth="1"/>
    <col min="12" max="12" width="18.33203125" customWidth="1"/>
    <col min="13" max="13" width="18.88671875" customWidth="1"/>
    <col min="14" max="14" width="22.33203125" customWidth="1"/>
    <col min="15" max="15" width="27.33203125" customWidth="1"/>
    <col min="16" max="16" width="24.6640625" customWidth="1"/>
    <col min="17" max="17" width="23" customWidth="1"/>
    <col min="18" max="18" width="27.109375" customWidth="1"/>
    <col min="19" max="19" width="22.6640625" customWidth="1"/>
    <col min="20" max="54" width="11.6640625" customWidth="1"/>
  </cols>
  <sheetData>
    <row r="1" spans="1:52" ht="89.4" customHeight="1" x14ac:dyDescent="0.3">
      <c r="A1" s="1" t="s">
        <v>0</v>
      </c>
    </row>
    <row r="2" spans="1:52" ht="66" customHeight="1" x14ac:dyDescent="0.85">
      <c r="A2" s="2" t="s">
        <v>56</v>
      </c>
      <c r="H2" s="15" t="s">
        <v>57</v>
      </c>
    </row>
    <row r="3" spans="1:52" ht="26.4" customHeight="1" x14ac:dyDescent="0.3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95</v>
      </c>
      <c r="AM3" t="s">
        <v>96</v>
      </c>
      <c r="AN3" t="s">
        <v>97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 t="s">
        <v>104</v>
      </c>
      <c r="AV3" t="s">
        <v>105</v>
      </c>
      <c r="AW3" t="s">
        <v>106</v>
      </c>
      <c r="AX3" t="s">
        <v>107</v>
      </c>
      <c r="AY3" t="s">
        <v>108</v>
      </c>
      <c r="AZ3" t="s">
        <v>109</v>
      </c>
    </row>
    <row r="4" spans="1:52" x14ac:dyDescent="0.3">
      <c r="A4" s="3">
        <v>46153</v>
      </c>
      <c r="B4" t="s">
        <v>110</v>
      </c>
      <c r="C4" t="s">
        <v>111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11</v>
      </c>
      <c r="J4" t="s">
        <v>112</v>
      </c>
      <c r="K4" t="s">
        <v>22</v>
      </c>
      <c r="L4" t="s">
        <v>113</v>
      </c>
      <c r="M4" t="s">
        <v>22</v>
      </c>
      <c r="N4" t="s">
        <v>11</v>
      </c>
      <c r="Q4" t="s">
        <v>114</v>
      </c>
    </row>
    <row r="5" spans="1:52" x14ac:dyDescent="0.3">
      <c r="A5" s="3">
        <v>46153</v>
      </c>
      <c r="B5" t="s">
        <v>110</v>
      </c>
      <c r="C5" t="s">
        <v>115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11</v>
      </c>
      <c r="J5" t="s">
        <v>112</v>
      </c>
      <c r="K5" t="s">
        <v>22</v>
      </c>
      <c r="L5" t="s">
        <v>113</v>
      </c>
      <c r="M5" t="s">
        <v>22</v>
      </c>
      <c r="N5" t="s">
        <v>11</v>
      </c>
      <c r="Q5" t="s">
        <v>114</v>
      </c>
    </row>
    <row r="6" spans="1:52" x14ac:dyDescent="0.3">
      <c r="A6" s="3">
        <v>46153</v>
      </c>
      <c r="B6" t="s">
        <v>110</v>
      </c>
      <c r="C6" t="s">
        <v>116</v>
      </c>
      <c r="D6" t="s">
        <v>22</v>
      </c>
      <c r="E6" t="s">
        <v>22</v>
      </c>
      <c r="F6" t="s">
        <v>22</v>
      </c>
      <c r="G6" t="s">
        <v>22</v>
      </c>
      <c r="H6" t="s">
        <v>11</v>
      </c>
      <c r="I6" t="s">
        <v>11</v>
      </c>
      <c r="J6" t="s">
        <v>112</v>
      </c>
      <c r="K6" t="s">
        <v>22</v>
      </c>
      <c r="L6" t="s">
        <v>117</v>
      </c>
      <c r="M6" t="s">
        <v>22</v>
      </c>
      <c r="N6" t="s">
        <v>22</v>
      </c>
    </row>
    <row r="7" spans="1:52" x14ac:dyDescent="0.3">
      <c r="A7" s="3">
        <v>46153</v>
      </c>
      <c r="B7" t="s">
        <v>110</v>
      </c>
      <c r="C7" t="s">
        <v>118</v>
      </c>
      <c r="D7" t="s">
        <v>22</v>
      </c>
      <c r="E7" t="s">
        <v>22</v>
      </c>
      <c r="F7" t="s">
        <v>11</v>
      </c>
      <c r="G7" t="s">
        <v>11</v>
      </c>
      <c r="H7" t="s">
        <v>11</v>
      </c>
      <c r="I7" t="s">
        <v>11</v>
      </c>
      <c r="J7" t="s">
        <v>119</v>
      </c>
      <c r="K7" t="s">
        <v>22</v>
      </c>
      <c r="L7" t="s">
        <v>117</v>
      </c>
      <c r="M7" t="s">
        <v>11</v>
      </c>
      <c r="N7" t="s">
        <v>22</v>
      </c>
      <c r="Q7" t="s">
        <v>120</v>
      </c>
    </row>
    <row r="8" spans="1:52" x14ac:dyDescent="0.3">
      <c r="A8" s="3">
        <v>46153</v>
      </c>
      <c r="B8" t="s">
        <v>110</v>
      </c>
      <c r="C8" t="s">
        <v>121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112</v>
      </c>
      <c r="K8" t="s">
        <v>22</v>
      </c>
      <c r="L8" t="s">
        <v>113</v>
      </c>
      <c r="M8" t="s">
        <v>22</v>
      </c>
      <c r="N8" t="s">
        <v>22</v>
      </c>
      <c r="Q8" t="s">
        <v>120</v>
      </c>
    </row>
    <row r="9" spans="1:52" x14ac:dyDescent="0.3">
      <c r="A9" s="3"/>
    </row>
    <row r="12" spans="1:52" ht="56.4" customHeight="1" x14ac:dyDescent="0.3">
      <c r="A12" s="3">
        <v>46154</v>
      </c>
      <c r="B12" t="s">
        <v>110</v>
      </c>
      <c r="C12" t="s">
        <v>122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11</v>
      </c>
      <c r="J12" t="s">
        <v>112</v>
      </c>
      <c r="K12" t="s">
        <v>22</v>
      </c>
      <c r="L12" t="s">
        <v>117</v>
      </c>
      <c r="M12" t="s">
        <v>22</v>
      </c>
      <c r="N12" t="s">
        <v>22</v>
      </c>
      <c r="Q12" t="s">
        <v>123</v>
      </c>
    </row>
    <row r="13" spans="1:52" x14ac:dyDescent="0.3">
      <c r="A13" s="3">
        <v>46154</v>
      </c>
      <c r="B13" t="s">
        <v>110</v>
      </c>
      <c r="C13" t="s">
        <v>124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11</v>
      </c>
      <c r="J13" t="s">
        <v>112</v>
      </c>
      <c r="K13" t="s">
        <v>22</v>
      </c>
      <c r="L13" t="s">
        <v>117</v>
      </c>
      <c r="M13" t="s">
        <v>22</v>
      </c>
      <c r="N13" t="s">
        <v>22</v>
      </c>
      <c r="Q13" t="s">
        <v>123</v>
      </c>
    </row>
    <row r="14" spans="1:52" x14ac:dyDescent="0.3">
      <c r="A14" s="3">
        <v>46155</v>
      </c>
      <c r="B14" t="s">
        <v>110</v>
      </c>
      <c r="C14" t="s">
        <v>125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11</v>
      </c>
      <c r="J14" t="s">
        <v>112</v>
      </c>
      <c r="K14" t="s">
        <v>22</v>
      </c>
      <c r="L14" t="s">
        <v>117</v>
      </c>
      <c r="M14" t="s">
        <v>11</v>
      </c>
      <c r="N14" t="s">
        <v>22</v>
      </c>
      <c r="Q14" t="s">
        <v>120</v>
      </c>
    </row>
    <row r="15" spans="1:52" x14ac:dyDescent="0.3">
      <c r="A15" s="3">
        <v>46155</v>
      </c>
      <c r="B15" t="s">
        <v>110</v>
      </c>
      <c r="C15" t="s">
        <v>126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112</v>
      </c>
      <c r="K15" t="s">
        <v>22</v>
      </c>
      <c r="L15" t="s">
        <v>127</v>
      </c>
      <c r="M15" t="s">
        <v>22</v>
      </c>
      <c r="N15" t="s">
        <v>22</v>
      </c>
      <c r="Q15" t="s">
        <v>120</v>
      </c>
    </row>
    <row r="16" spans="1:52" x14ac:dyDescent="0.3">
      <c r="A16" s="3">
        <v>46155</v>
      </c>
      <c r="B16" t="s">
        <v>110</v>
      </c>
      <c r="C16" t="s">
        <v>128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11</v>
      </c>
      <c r="J16" t="s">
        <v>119</v>
      </c>
      <c r="K16" t="s">
        <v>22</v>
      </c>
      <c r="L16" t="s">
        <v>117</v>
      </c>
      <c r="M16" t="s">
        <v>11</v>
      </c>
      <c r="N16" t="s">
        <v>22</v>
      </c>
      <c r="Q16" t="s">
        <v>123</v>
      </c>
    </row>
  </sheetData>
  <conditionalFormatting sqref="A3:AZ3">
    <cfRule type="dataBar" priority="27">
      <dataBar>
        <cfvo type="min"/>
        <cfvo type="max"/>
        <color rgb="FF63C384"/>
      </dataBar>
    </cfRule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:AZ63">
    <cfRule type="dataBar" priority="33">
      <dataBar>
        <cfvo type="min"/>
        <cfvo type="max"/>
        <color rgb="FF63C384"/>
      </dataBar>
    </cfRule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dataValidations count="1">
    <dataValidation type="list" sqref="E64:S200 E4:Q63" xr:uid="{00000000-0002-0000-0100-000000000000}">
      <formula1>"Oui,Non"</formula1>
    </dataValidation>
  </dataValidations>
  <pageMargins left="0.75" right="0.75" top="1" bottom="1" header="0.5" footer="0.5"/>
  <headerFooter>
    <oddHeader>&amp;C&amp;"Aptos"&amp;1 &amp;KFF8C00 C2 - Confidential#_x000D_</oddHead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1"/>
  <sheetViews>
    <sheetView tabSelected="1" topLeftCell="A83" workbookViewId="0">
      <selection activeCell="B60" sqref="B60:B106"/>
    </sheetView>
  </sheetViews>
  <sheetFormatPr baseColWidth="10" defaultColWidth="8.88671875" defaultRowHeight="14.4" x14ac:dyDescent="0.3"/>
  <cols>
    <col min="1" max="1" width="35.6640625" customWidth="1"/>
    <col min="2" max="2" width="41.6640625" customWidth="1"/>
    <col min="3" max="3" width="21.6640625" customWidth="1"/>
    <col min="4" max="4" width="22.6640625" customWidth="1"/>
    <col min="5" max="5" width="24" customWidth="1"/>
    <col min="6" max="6" width="29.6640625" customWidth="1"/>
    <col min="7" max="7" width="22.109375" customWidth="1"/>
    <col min="8" max="8" width="68.88671875" customWidth="1"/>
    <col min="9" max="9" width="21.6640625" customWidth="1"/>
    <col min="10" max="10" width="35.44140625" customWidth="1"/>
    <col min="11" max="11" width="31.33203125" customWidth="1"/>
    <col min="12" max="14" width="11.6640625" customWidth="1"/>
  </cols>
  <sheetData>
    <row r="1" spans="1:16" ht="30" customHeight="1" x14ac:dyDescent="0.35">
      <c r="A1" s="23" t="s">
        <v>61</v>
      </c>
      <c r="B1" s="23" t="s">
        <v>129</v>
      </c>
      <c r="C1" s="23" t="s">
        <v>130</v>
      </c>
      <c r="D1" s="24" t="s">
        <v>131</v>
      </c>
      <c r="E1" s="23" t="s">
        <v>132</v>
      </c>
      <c r="F1" s="25" t="s">
        <v>133</v>
      </c>
      <c r="G1" s="25" t="s">
        <v>134</v>
      </c>
      <c r="H1" s="26" t="s">
        <v>135</v>
      </c>
      <c r="I1" s="26" t="s">
        <v>74</v>
      </c>
      <c r="J1" s="27" t="s">
        <v>7</v>
      </c>
      <c r="K1" t="s">
        <v>136</v>
      </c>
      <c r="L1" t="s">
        <v>137</v>
      </c>
      <c r="M1" t="s">
        <v>138</v>
      </c>
      <c r="N1" t="s">
        <v>139</v>
      </c>
    </row>
    <row r="2" spans="1:16" x14ac:dyDescent="0.3">
      <c r="A2" s="8"/>
      <c r="B2" s="8"/>
      <c r="C2" s="8"/>
      <c r="D2" s="8"/>
      <c r="E2" s="8"/>
      <c r="F2" s="8"/>
      <c r="G2" s="8"/>
      <c r="H2" s="8"/>
      <c r="I2" s="8"/>
      <c r="J2" s="30"/>
      <c r="K2" s="30"/>
      <c r="L2" s="30"/>
      <c r="M2" s="30"/>
      <c r="N2" s="30"/>
      <c r="O2" s="30"/>
      <c r="P2" s="30"/>
    </row>
    <row r="3" spans="1:16" ht="46.2" customHeight="1" x14ac:dyDescent="0.85">
      <c r="A3" s="8"/>
      <c r="B3" s="8"/>
      <c r="C3" s="13" t="s">
        <v>140</v>
      </c>
      <c r="D3" s="12"/>
      <c r="E3" s="8"/>
      <c r="F3" s="8"/>
      <c r="G3" s="8"/>
      <c r="H3" s="8"/>
      <c r="I3" s="8"/>
      <c r="J3" s="30"/>
      <c r="K3" s="30"/>
      <c r="L3" s="30"/>
      <c r="M3" s="30"/>
      <c r="N3" s="30"/>
      <c r="O3" s="30"/>
      <c r="P3" s="30"/>
    </row>
    <row r="4" spans="1:16" x14ac:dyDescent="0.3">
      <c r="A4" s="8"/>
      <c r="B4" s="8"/>
      <c r="C4" s="8"/>
      <c r="D4" s="8"/>
      <c r="E4" s="8"/>
      <c r="F4" s="8"/>
      <c r="G4" s="8"/>
      <c r="H4" s="8"/>
      <c r="I4" s="8"/>
      <c r="J4" s="30"/>
      <c r="K4" s="30"/>
      <c r="L4" s="30"/>
      <c r="M4" s="30"/>
      <c r="N4" s="30"/>
      <c r="O4" s="30"/>
      <c r="P4" s="30"/>
    </row>
    <row r="5" spans="1:16" x14ac:dyDescent="0.3">
      <c r="A5" s="9" t="s">
        <v>141</v>
      </c>
      <c r="B5" s="30" t="s">
        <v>142</v>
      </c>
      <c r="C5" s="9">
        <v>90355011130</v>
      </c>
      <c r="D5" s="30">
        <v>10</v>
      </c>
      <c r="E5" s="30">
        <v>2</v>
      </c>
      <c r="F5" s="30"/>
      <c r="G5" s="10">
        <v>47694</v>
      </c>
      <c r="H5" s="28" t="s">
        <v>143</v>
      </c>
      <c r="I5" s="30"/>
      <c r="J5" s="30"/>
      <c r="K5" s="30"/>
      <c r="L5" s="30"/>
      <c r="M5" s="30"/>
      <c r="N5" s="30"/>
      <c r="O5" s="30"/>
      <c r="P5" s="30"/>
    </row>
    <row r="6" spans="1:16" x14ac:dyDescent="0.3">
      <c r="A6" s="9" t="s">
        <v>141</v>
      </c>
      <c r="B6" s="30" t="s">
        <v>144</v>
      </c>
      <c r="C6" s="9">
        <v>90358264672</v>
      </c>
      <c r="D6" s="30">
        <v>8</v>
      </c>
      <c r="E6" s="30">
        <v>0</v>
      </c>
      <c r="F6" s="30"/>
      <c r="G6" s="30"/>
      <c r="H6" s="28" t="s">
        <v>145</v>
      </c>
      <c r="I6" s="30"/>
      <c r="J6" s="30"/>
      <c r="K6" s="30"/>
      <c r="L6" s="30"/>
      <c r="M6" s="30"/>
      <c r="N6" s="30"/>
      <c r="O6" s="30"/>
      <c r="P6" s="30"/>
    </row>
    <row r="7" spans="1:16" x14ac:dyDescent="0.3">
      <c r="A7" s="9" t="s">
        <v>141</v>
      </c>
      <c r="B7" s="30" t="s">
        <v>146</v>
      </c>
      <c r="C7" s="9">
        <v>90358264240</v>
      </c>
      <c r="D7" s="30">
        <v>15</v>
      </c>
      <c r="E7" s="30">
        <v>1</v>
      </c>
      <c r="F7" s="30"/>
      <c r="G7" s="11">
        <v>46317</v>
      </c>
      <c r="H7" s="30" t="s">
        <v>147</v>
      </c>
      <c r="I7" s="30"/>
      <c r="J7" s="30"/>
      <c r="K7" s="30"/>
      <c r="L7" s="30"/>
      <c r="M7" s="30"/>
      <c r="N7" s="30"/>
      <c r="O7" s="30"/>
      <c r="P7" s="30"/>
    </row>
    <row r="8" spans="1:16" x14ac:dyDescent="0.3">
      <c r="A8" s="9" t="s">
        <v>141</v>
      </c>
      <c r="B8" s="4" t="s">
        <v>148</v>
      </c>
      <c r="C8" s="18">
        <v>90055533626</v>
      </c>
      <c r="D8" s="30">
        <v>1</v>
      </c>
      <c r="E8" s="30">
        <v>1</v>
      </c>
      <c r="F8" s="30"/>
      <c r="G8" s="11">
        <v>46213</v>
      </c>
      <c r="H8" s="28" t="s">
        <v>149</v>
      </c>
      <c r="I8" s="30"/>
      <c r="J8" s="30"/>
      <c r="K8" s="30"/>
      <c r="L8" s="30"/>
      <c r="M8" s="30"/>
      <c r="N8" s="30"/>
      <c r="O8" s="30"/>
      <c r="P8" s="30"/>
    </row>
    <row r="9" spans="1:16" ht="13.2" customHeight="1" x14ac:dyDescent="0.3">
      <c r="A9" s="9" t="s">
        <v>141</v>
      </c>
      <c r="B9" s="5" t="s">
        <v>150</v>
      </c>
      <c r="C9" s="18">
        <v>90055533626</v>
      </c>
      <c r="D9" s="30">
        <v>1</v>
      </c>
      <c r="E9" s="30">
        <v>1</v>
      </c>
      <c r="F9" s="30"/>
      <c r="G9" s="11">
        <v>46277</v>
      </c>
      <c r="H9" s="28" t="s">
        <v>151</v>
      </c>
      <c r="I9" s="30"/>
      <c r="J9" s="30"/>
      <c r="K9" s="30"/>
      <c r="L9" s="30"/>
      <c r="M9" s="30"/>
      <c r="N9" s="30"/>
      <c r="O9" s="30"/>
      <c r="P9" s="30"/>
    </row>
    <row r="10" spans="1:16" x14ac:dyDescent="0.3">
      <c r="A10" s="9" t="s">
        <v>141</v>
      </c>
      <c r="B10" s="6" t="s">
        <v>152</v>
      </c>
      <c r="C10" s="19" t="s">
        <v>153</v>
      </c>
      <c r="D10" s="30">
        <v>3</v>
      </c>
      <c r="E10" s="30">
        <v>1</v>
      </c>
      <c r="F10" s="30"/>
      <c r="G10" s="30" t="s">
        <v>154</v>
      </c>
      <c r="H10" s="28" t="s">
        <v>155</v>
      </c>
      <c r="I10" s="30"/>
      <c r="J10" s="30"/>
      <c r="K10" s="30"/>
      <c r="L10" s="30"/>
      <c r="M10" s="30"/>
      <c r="N10" s="30"/>
      <c r="O10" s="30"/>
      <c r="P10" s="30"/>
    </row>
    <row r="11" spans="1:16" x14ac:dyDescent="0.3">
      <c r="A11" s="9" t="s">
        <v>141</v>
      </c>
      <c r="B11" s="7" t="s">
        <v>156</v>
      </c>
      <c r="C11" s="9">
        <v>90355011130</v>
      </c>
      <c r="D11" s="30">
        <v>1</v>
      </c>
      <c r="E11" s="30">
        <v>1</v>
      </c>
      <c r="F11" s="30"/>
      <c r="G11" s="11">
        <v>46316</v>
      </c>
      <c r="H11" s="28" t="s">
        <v>143</v>
      </c>
      <c r="I11" s="30"/>
      <c r="J11" s="30"/>
      <c r="K11" s="30"/>
      <c r="L11" s="30"/>
      <c r="M11" s="30"/>
      <c r="N11" s="30"/>
      <c r="O11" s="30"/>
      <c r="P11" s="30"/>
    </row>
    <row r="12" spans="1:16" x14ac:dyDescent="0.3">
      <c r="A12" s="9" t="s">
        <v>141</v>
      </c>
      <c r="B12" s="30" t="s">
        <v>157</v>
      </c>
      <c r="C12" s="9">
        <v>90359217020</v>
      </c>
      <c r="D12" s="30">
        <v>1</v>
      </c>
      <c r="E12" s="30">
        <v>0</v>
      </c>
      <c r="F12" s="30"/>
      <c r="G12" s="11">
        <v>46136</v>
      </c>
      <c r="H12" s="31" t="s">
        <v>147</v>
      </c>
      <c r="I12" s="30"/>
      <c r="J12" s="30"/>
      <c r="K12" s="30"/>
      <c r="L12" s="30"/>
      <c r="M12" s="30"/>
      <c r="N12" s="30"/>
      <c r="O12" s="30"/>
      <c r="P12" s="30"/>
    </row>
    <row r="13" spans="1:16" ht="15.6" customHeight="1" x14ac:dyDescent="0.3">
      <c r="A13" s="39" t="s">
        <v>158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0"/>
      <c r="P13" s="30"/>
    </row>
    <row r="14" spans="1:16" x14ac:dyDescent="0.3">
      <c r="A14" s="9" t="s">
        <v>159</v>
      </c>
      <c r="B14" s="30" t="s">
        <v>160</v>
      </c>
      <c r="C14" s="9">
        <v>90355011130</v>
      </c>
      <c r="D14" s="30">
        <v>2</v>
      </c>
      <c r="E14" s="30">
        <v>1</v>
      </c>
      <c r="F14" s="30" t="s">
        <v>161</v>
      </c>
      <c r="G14" s="11">
        <v>46316</v>
      </c>
      <c r="H14" s="28" t="s">
        <v>143</v>
      </c>
      <c r="I14" s="30"/>
      <c r="J14" s="30"/>
      <c r="K14" s="30"/>
      <c r="L14" s="30"/>
      <c r="M14" s="30"/>
      <c r="N14" s="30"/>
      <c r="O14" s="30"/>
      <c r="P14" s="30"/>
    </row>
    <row r="15" spans="1:16" x14ac:dyDescent="0.3">
      <c r="A15" s="9" t="s">
        <v>159</v>
      </c>
      <c r="B15" s="30" t="s">
        <v>162</v>
      </c>
      <c r="C15" s="9">
        <v>90355011452</v>
      </c>
      <c r="D15" s="30">
        <v>1</v>
      </c>
      <c r="E15" s="30">
        <v>1</v>
      </c>
      <c r="F15" s="30"/>
      <c r="G15" s="30"/>
      <c r="H15" s="30" t="s">
        <v>147</v>
      </c>
      <c r="I15" s="30"/>
      <c r="J15" s="30"/>
      <c r="K15" s="30"/>
      <c r="L15" s="30"/>
      <c r="M15" s="30"/>
      <c r="N15" s="30"/>
      <c r="O15" s="30"/>
      <c r="P15" s="30"/>
    </row>
    <row r="16" spans="1:16" x14ac:dyDescent="0.3">
      <c r="A16" s="9" t="s">
        <v>159</v>
      </c>
      <c r="B16" s="30" t="s">
        <v>152</v>
      </c>
      <c r="C16" s="9"/>
      <c r="D16" s="30">
        <v>2</v>
      </c>
      <c r="E16" s="30">
        <v>1</v>
      </c>
      <c r="F16" s="30"/>
      <c r="G16" s="30"/>
      <c r="H16" s="28" t="s">
        <v>155</v>
      </c>
      <c r="I16" s="30"/>
      <c r="J16" s="30"/>
      <c r="K16" s="30"/>
      <c r="L16" s="30"/>
      <c r="M16" s="30"/>
      <c r="N16" s="30"/>
      <c r="O16" s="30"/>
      <c r="P16" s="30"/>
    </row>
    <row r="17" spans="1:16" x14ac:dyDescent="0.3">
      <c r="A17" s="30"/>
      <c r="B17" s="30" t="s">
        <v>163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x14ac:dyDescent="0.3">
      <c r="A18" s="45" t="s">
        <v>164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30"/>
      <c r="P18" s="30"/>
    </row>
    <row r="19" spans="1:16" x14ac:dyDescent="0.3">
      <c r="A19" s="9" t="s">
        <v>165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16" x14ac:dyDescent="0.3">
      <c r="A20" s="9" t="s">
        <v>165</v>
      </c>
      <c r="B20" s="30" t="s">
        <v>166</v>
      </c>
      <c r="C20" s="9">
        <v>90358266040</v>
      </c>
      <c r="D20" s="30">
        <v>2</v>
      </c>
      <c r="E20" s="30">
        <v>1</v>
      </c>
      <c r="F20" s="30"/>
      <c r="G20" s="30" t="s">
        <v>167</v>
      </c>
      <c r="H20" s="28" t="s">
        <v>168</v>
      </c>
      <c r="I20" s="30"/>
      <c r="J20" s="30"/>
      <c r="K20" s="30"/>
      <c r="L20" s="30"/>
      <c r="M20" s="30"/>
      <c r="N20" s="30"/>
      <c r="O20" s="30"/>
      <c r="P20" s="30"/>
    </row>
    <row r="21" spans="1:16" x14ac:dyDescent="0.3">
      <c r="A21" s="9" t="s">
        <v>165</v>
      </c>
      <c r="B21" s="30" t="s">
        <v>169</v>
      </c>
      <c r="C21" s="9">
        <v>90051503018</v>
      </c>
      <c r="D21" s="30">
        <v>2</v>
      </c>
      <c r="E21" s="30">
        <v>1</v>
      </c>
      <c r="F21" s="30"/>
      <c r="G21" s="11">
        <v>46586</v>
      </c>
      <c r="H21" s="30" t="s">
        <v>147</v>
      </c>
      <c r="I21" s="30"/>
      <c r="J21" s="30"/>
      <c r="K21" s="30"/>
      <c r="L21" s="30"/>
      <c r="M21" s="30"/>
      <c r="N21" s="30"/>
      <c r="O21" s="30"/>
      <c r="P21" s="30"/>
    </row>
    <row r="22" spans="1:16" x14ac:dyDescent="0.3">
      <c r="A22" s="9" t="s">
        <v>165</v>
      </c>
      <c r="B22" s="30" t="s">
        <v>170</v>
      </c>
      <c r="C22" s="9">
        <v>90054108985</v>
      </c>
      <c r="D22" s="30">
        <v>3</v>
      </c>
      <c r="E22" s="30">
        <v>1</v>
      </c>
      <c r="F22" s="30"/>
      <c r="G22" s="30" t="s">
        <v>171</v>
      </c>
      <c r="H22" s="30" t="s">
        <v>172</v>
      </c>
      <c r="I22" s="30"/>
      <c r="J22" s="30"/>
      <c r="K22" s="30"/>
      <c r="L22" s="30"/>
      <c r="M22" s="30"/>
      <c r="N22" s="30"/>
      <c r="O22" s="30"/>
      <c r="P22" s="30"/>
    </row>
    <row r="23" spans="1:16" x14ac:dyDescent="0.3">
      <c r="A23" s="9" t="s">
        <v>165</v>
      </c>
      <c r="B23" s="30" t="s">
        <v>173</v>
      </c>
      <c r="C23" s="9"/>
      <c r="D23" s="30"/>
      <c r="E23" s="30"/>
      <c r="F23" s="30"/>
      <c r="G23" s="30"/>
      <c r="H23" s="30" t="s">
        <v>172</v>
      </c>
      <c r="I23" s="30"/>
      <c r="J23" s="30"/>
      <c r="K23" s="30"/>
      <c r="L23" s="30"/>
      <c r="M23" s="30"/>
      <c r="N23" s="30"/>
      <c r="O23" s="30"/>
      <c r="P23" s="30"/>
    </row>
    <row r="24" spans="1:16" x14ac:dyDescent="0.3">
      <c r="A24" s="9" t="s">
        <v>165</v>
      </c>
      <c r="B24" s="30" t="s">
        <v>174</v>
      </c>
      <c r="C24" s="9">
        <v>90356264002</v>
      </c>
      <c r="D24" s="30">
        <v>3</v>
      </c>
      <c r="E24" s="30">
        <v>1</v>
      </c>
      <c r="F24" s="30"/>
      <c r="G24" s="30" t="s">
        <v>171</v>
      </c>
      <c r="H24" s="30" t="s">
        <v>172</v>
      </c>
      <c r="I24" s="30"/>
      <c r="J24" s="30"/>
      <c r="K24" s="30"/>
      <c r="L24" s="30"/>
      <c r="M24" s="30"/>
      <c r="N24" s="30"/>
      <c r="O24" s="30"/>
      <c r="P24" s="30"/>
    </row>
    <row r="25" spans="1:16" x14ac:dyDescent="0.3">
      <c r="A25" s="9" t="s">
        <v>165</v>
      </c>
      <c r="B25" s="30" t="s">
        <v>175</v>
      </c>
      <c r="C25" s="9">
        <v>90055533607</v>
      </c>
      <c r="D25" s="30">
        <v>1</v>
      </c>
      <c r="E25" s="30">
        <v>1</v>
      </c>
      <c r="F25" s="30"/>
      <c r="G25" s="10">
        <v>46296</v>
      </c>
      <c r="H25" s="28" t="s">
        <v>176</v>
      </c>
      <c r="I25" s="30"/>
      <c r="J25" s="30"/>
      <c r="K25" s="30"/>
      <c r="L25" s="30"/>
      <c r="M25" s="30"/>
      <c r="N25" s="30"/>
      <c r="O25" s="30"/>
      <c r="P25" s="30"/>
    </row>
    <row r="26" spans="1:16" x14ac:dyDescent="0.3">
      <c r="A26" s="9" t="s">
        <v>165</v>
      </c>
      <c r="B26" s="30" t="s">
        <v>177</v>
      </c>
      <c r="C26" s="9">
        <v>90358249923</v>
      </c>
      <c r="D26" s="30">
        <v>1</v>
      </c>
      <c r="E26" s="30">
        <v>1</v>
      </c>
      <c r="F26" s="30"/>
      <c r="G26" s="11">
        <v>46421</v>
      </c>
      <c r="H26" s="30" t="s">
        <v>147</v>
      </c>
      <c r="I26" s="30"/>
      <c r="J26" s="30"/>
      <c r="K26" s="30"/>
      <c r="L26" s="30"/>
      <c r="M26" s="30"/>
      <c r="N26" s="30"/>
      <c r="O26" s="30"/>
      <c r="P26" s="30"/>
    </row>
    <row r="27" spans="1:16" x14ac:dyDescent="0.3">
      <c r="A27" s="9" t="s">
        <v>165</v>
      </c>
      <c r="B27" s="30" t="s">
        <v>178</v>
      </c>
      <c r="C27" s="9">
        <v>90358806227</v>
      </c>
      <c r="D27" s="30">
        <v>1</v>
      </c>
      <c r="E27" s="30">
        <v>1</v>
      </c>
      <c r="F27" s="30"/>
      <c r="G27" s="10">
        <v>46296</v>
      </c>
      <c r="H27" s="28" t="s">
        <v>179</v>
      </c>
      <c r="I27" s="30"/>
      <c r="J27" s="30"/>
      <c r="K27" s="30"/>
      <c r="L27" s="30"/>
      <c r="M27" s="30"/>
      <c r="N27" s="30"/>
      <c r="O27" s="30"/>
      <c r="P27" s="30"/>
    </row>
    <row r="28" spans="1:16" x14ac:dyDescent="0.3">
      <c r="A28" s="9" t="s">
        <v>165</v>
      </c>
      <c r="B28" s="30" t="s">
        <v>180</v>
      </c>
      <c r="C28" s="9">
        <v>2522191303</v>
      </c>
      <c r="D28" s="30">
        <v>3</v>
      </c>
      <c r="E28" s="30">
        <v>1</v>
      </c>
      <c r="F28" s="30"/>
      <c r="G28" s="30"/>
      <c r="H28" s="30" t="s">
        <v>172</v>
      </c>
      <c r="I28" s="30"/>
      <c r="J28" s="30"/>
      <c r="K28" s="30"/>
      <c r="L28" s="30"/>
      <c r="M28" s="30"/>
      <c r="N28" s="30"/>
      <c r="O28" s="30"/>
      <c r="P28" s="30"/>
    </row>
    <row r="29" spans="1:16" x14ac:dyDescent="0.3">
      <c r="A29" s="9" t="s">
        <v>165</v>
      </c>
      <c r="B29" s="30" t="s">
        <v>181</v>
      </c>
      <c r="C29" s="9">
        <v>90055006356</v>
      </c>
      <c r="D29" s="30">
        <v>1</v>
      </c>
      <c r="E29" s="30">
        <v>1</v>
      </c>
      <c r="F29" s="30"/>
      <c r="G29" s="30" t="s">
        <v>182</v>
      </c>
      <c r="H29" s="30" t="s">
        <v>147</v>
      </c>
      <c r="I29" s="30"/>
      <c r="J29" s="30"/>
      <c r="K29" s="30"/>
      <c r="L29" s="30"/>
      <c r="M29" s="30"/>
      <c r="N29" s="30"/>
      <c r="O29" s="30"/>
      <c r="P29" s="30"/>
    </row>
    <row r="30" spans="1:16" x14ac:dyDescent="0.3">
      <c r="A30" s="9" t="s">
        <v>165</v>
      </c>
      <c r="B30" s="30" t="s">
        <v>183</v>
      </c>
      <c r="C30" s="9">
        <v>90356264002</v>
      </c>
      <c r="D30" s="30">
        <v>1</v>
      </c>
      <c r="E30" s="30">
        <v>1</v>
      </c>
      <c r="F30" s="30"/>
      <c r="G30" s="30" t="s">
        <v>182</v>
      </c>
      <c r="H30" s="30" t="s">
        <v>147</v>
      </c>
      <c r="I30" s="30"/>
      <c r="J30" s="30"/>
      <c r="K30" s="30"/>
      <c r="L30" s="30"/>
      <c r="M30" s="30"/>
      <c r="N30" s="30"/>
      <c r="O30" s="30"/>
      <c r="P30" s="30"/>
    </row>
    <row r="31" spans="1:16" x14ac:dyDescent="0.3">
      <c r="A31" s="9" t="s">
        <v>165</v>
      </c>
      <c r="B31" s="30" t="s">
        <v>184</v>
      </c>
      <c r="C31" s="9"/>
      <c r="D31" s="30">
        <v>1</v>
      </c>
      <c r="E31" s="30">
        <v>1</v>
      </c>
      <c r="F31" s="30"/>
      <c r="G31" s="30"/>
      <c r="H31" s="30" t="s">
        <v>172</v>
      </c>
      <c r="I31" s="30"/>
      <c r="J31" s="30"/>
      <c r="K31" s="30"/>
      <c r="L31" s="30"/>
      <c r="M31" s="30"/>
      <c r="N31" s="30"/>
      <c r="O31" s="30"/>
      <c r="P31" s="30"/>
    </row>
    <row r="32" spans="1:16" x14ac:dyDescent="0.3">
      <c r="A32" s="9" t="s">
        <v>165</v>
      </c>
      <c r="B32" s="30" t="s">
        <v>185</v>
      </c>
      <c r="C32" s="9">
        <v>90053001025</v>
      </c>
      <c r="D32" s="30">
        <v>2</v>
      </c>
      <c r="E32" s="30">
        <v>1</v>
      </c>
      <c r="F32" s="30"/>
      <c r="G32" s="11">
        <v>47634</v>
      </c>
      <c r="H32" s="30" t="s">
        <v>147</v>
      </c>
      <c r="I32" s="30"/>
      <c r="J32" s="30"/>
      <c r="K32" s="30"/>
      <c r="L32" s="30"/>
      <c r="M32" s="30"/>
      <c r="N32" s="30"/>
      <c r="O32" s="30"/>
      <c r="P32" s="30"/>
    </row>
    <row r="33" spans="1:16" x14ac:dyDescent="0.3">
      <c r="A33" s="9" t="s">
        <v>165</v>
      </c>
      <c r="B33" s="30" t="s">
        <v>186</v>
      </c>
      <c r="C33" s="9"/>
      <c r="D33" s="30">
        <v>1</v>
      </c>
      <c r="E33" s="30">
        <v>1</v>
      </c>
      <c r="F33" s="30"/>
      <c r="G33" s="30"/>
      <c r="H33" s="30" t="s">
        <v>172</v>
      </c>
      <c r="I33" s="30"/>
      <c r="J33" s="30"/>
      <c r="K33" s="30"/>
      <c r="L33" s="30"/>
      <c r="M33" s="30"/>
      <c r="N33" s="30"/>
      <c r="O33" s="30"/>
      <c r="P33" s="30"/>
    </row>
    <row r="34" spans="1:16" x14ac:dyDescent="0.3">
      <c r="A34" s="9" t="s">
        <v>165</v>
      </c>
      <c r="B34" s="30" t="s">
        <v>187</v>
      </c>
      <c r="C34" s="9">
        <v>90358266663</v>
      </c>
      <c r="D34" s="30">
        <v>3</v>
      </c>
      <c r="E34" s="30">
        <v>1</v>
      </c>
      <c r="F34" s="30"/>
      <c r="G34" s="11">
        <v>46721</v>
      </c>
      <c r="H34" s="30" t="s">
        <v>188</v>
      </c>
      <c r="I34" s="30"/>
      <c r="J34" s="30"/>
      <c r="K34" s="30"/>
      <c r="L34" s="30"/>
      <c r="M34" s="30"/>
      <c r="N34" s="30"/>
      <c r="O34" s="30"/>
      <c r="P34" s="30"/>
    </row>
    <row r="35" spans="1:16" x14ac:dyDescent="0.3">
      <c r="A35" s="9" t="s">
        <v>165</v>
      </c>
      <c r="B35" s="30" t="s">
        <v>189</v>
      </c>
      <c r="C35" s="9"/>
      <c r="D35" s="30">
        <v>1</v>
      </c>
      <c r="E35" s="30">
        <v>1</v>
      </c>
      <c r="F35" s="30"/>
      <c r="G35" s="30"/>
      <c r="H35" s="30" t="s">
        <v>188</v>
      </c>
      <c r="I35" s="30"/>
      <c r="J35" s="30"/>
      <c r="K35" s="30"/>
      <c r="L35" s="30"/>
      <c r="M35" s="30"/>
      <c r="N35" s="30"/>
      <c r="O35" s="30"/>
      <c r="P35" s="30"/>
    </row>
    <row r="36" spans="1:16" x14ac:dyDescent="0.3">
      <c r="A36" s="9" t="s">
        <v>165</v>
      </c>
      <c r="B36" s="30" t="s">
        <v>190</v>
      </c>
      <c r="C36" s="9">
        <v>900555461</v>
      </c>
      <c r="D36" s="30">
        <v>1</v>
      </c>
      <c r="E36" s="30">
        <v>1</v>
      </c>
      <c r="F36" s="30"/>
      <c r="G36" s="11">
        <v>47330</v>
      </c>
      <c r="H36" s="28" t="s">
        <v>191</v>
      </c>
      <c r="I36" s="30"/>
      <c r="J36" s="30"/>
      <c r="K36" s="30"/>
      <c r="L36" s="30"/>
      <c r="M36" s="30"/>
      <c r="N36" s="30"/>
    </row>
    <row r="37" spans="1:16" x14ac:dyDescent="0.3">
      <c r="A37" s="9" t="s">
        <v>165</v>
      </c>
      <c r="B37" s="30" t="s">
        <v>192</v>
      </c>
      <c r="C37" s="9"/>
      <c r="D37" s="30">
        <v>20</v>
      </c>
      <c r="E37" s="30">
        <v>2</v>
      </c>
      <c r="F37" s="30"/>
      <c r="G37" s="30"/>
      <c r="H37" s="30" t="s">
        <v>172</v>
      </c>
      <c r="I37" s="30"/>
      <c r="J37" s="30"/>
      <c r="K37" s="30"/>
      <c r="L37" s="30"/>
      <c r="M37" s="30"/>
      <c r="N37" s="30"/>
    </row>
    <row r="38" spans="1:16" x14ac:dyDescent="0.3">
      <c r="A38" s="9" t="s">
        <v>165</v>
      </c>
      <c r="B38" s="30" t="s">
        <v>193</v>
      </c>
      <c r="C38" s="9"/>
      <c r="D38" s="30">
        <v>3</v>
      </c>
      <c r="E38" s="30">
        <v>1</v>
      </c>
      <c r="F38" s="30"/>
      <c r="G38" s="30"/>
      <c r="H38" s="30" t="s">
        <v>172</v>
      </c>
      <c r="I38" s="30"/>
      <c r="J38" s="30"/>
      <c r="K38" s="30"/>
      <c r="L38" s="30"/>
      <c r="M38" s="30"/>
      <c r="N38" s="30"/>
    </row>
    <row r="39" spans="1:16" x14ac:dyDescent="0.3">
      <c r="A39" s="9" t="s">
        <v>165</v>
      </c>
      <c r="B39" s="30" t="s">
        <v>194</v>
      </c>
      <c r="C39" s="9">
        <v>90356662080</v>
      </c>
      <c r="D39" s="30">
        <v>1</v>
      </c>
      <c r="E39" s="30">
        <v>1</v>
      </c>
      <c r="F39" s="30"/>
      <c r="G39" s="10">
        <v>46539</v>
      </c>
      <c r="H39" s="30" t="s">
        <v>172</v>
      </c>
      <c r="I39" s="30"/>
      <c r="J39" s="30"/>
      <c r="K39" s="30"/>
      <c r="L39" s="30"/>
      <c r="M39" s="30"/>
      <c r="N39" s="30"/>
    </row>
    <row r="40" spans="1:16" x14ac:dyDescent="0.3">
      <c r="A40" s="9" t="s">
        <v>165</v>
      </c>
      <c r="B40" s="30" t="s">
        <v>157</v>
      </c>
      <c r="C40" s="9">
        <v>90359217020</v>
      </c>
      <c r="D40" s="30">
        <v>1</v>
      </c>
      <c r="E40" s="30">
        <v>1</v>
      </c>
      <c r="F40" s="30"/>
      <c r="G40" s="30"/>
      <c r="H40" s="30" t="s">
        <v>147</v>
      </c>
      <c r="I40" s="30"/>
      <c r="J40" s="30"/>
      <c r="K40" s="30"/>
      <c r="L40" s="30"/>
      <c r="M40" s="30"/>
      <c r="N40" s="30"/>
    </row>
    <row r="41" spans="1:16" x14ac:dyDescent="0.3">
      <c r="A41" s="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1:16" x14ac:dyDescent="0.3">
      <c r="A42" s="30"/>
      <c r="B42" s="30"/>
      <c r="C42" s="30" t="s">
        <v>195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spans="1:16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spans="1:16" x14ac:dyDescent="0.3">
      <c r="A44" s="9" t="s">
        <v>196</v>
      </c>
      <c r="B44" s="30" t="s">
        <v>197</v>
      </c>
      <c r="C44" s="9" t="s">
        <v>198</v>
      </c>
      <c r="D44" s="30">
        <v>1</v>
      </c>
      <c r="E44" s="30">
        <v>1</v>
      </c>
      <c r="F44" s="30"/>
      <c r="G44" s="30"/>
      <c r="H44" s="30" t="s">
        <v>172</v>
      </c>
      <c r="I44" s="30"/>
      <c r="J44" s="30"/>
      <c r="K44" s="30"/>
      <c r="L44" s="30"/>
      <c r="M44" s="30"/>
      <c r="N44" s="30"/>
    </row>
    <row r="45" spans="1:16" x14ac:dyDescent="0.3">
      <c r="A45" s="9" t="s">
        <v>196</v>
      </c>
      <c r="B45" s="30" t="s">
        <v>199</v>
      </c>
      <c r="C45" s="9">
        <v>9035123331</v>
      </c>
      <c r="D45" s="30">
        <v>1</v>
      </c>
      <c r="E45" s="30">
        <v>1</v>
      </c>
      <c r="F45" s="30"/>
      <c r="G45" s="30"/>
      <c r="H45" s="30" t="s">
        <v>172</v>
      </c>
      <c r="I45" s="30"/>
      <c r="J45" s="30"/>
      <c r="K45" s="30"/>
      <c r="L45" s="30"/>
      <c r="M45" s="30"/>
      <c r="N45" s="30"/>
    </row>
    <row r="46" spans="1:16" x14ac:dyDescent="0.3">
      <c r="A46" s="9" t="s">
        <v>196</v>
      </c>
      <c r="B46" s="30" t="s">
        <v>200</v>
      </c>
      <c r="C46" s="9">
        <v>90356667717</v>
      </c>
      <c r="D46" s="30">
        <v>5</v>
      </c>
      <c r="E46" s="30">
        <v>0</v>
      </c>
      <c r="F46" s="30"/>
      <c r="G46" s="30" t="s">
        <v>171</v>
      </c>
      <c r="H46" s="28" t="s">
        <v>201</v>
      </c>
      <c r="I46" s="30"/>
      <c r="J46" s="30"/>
      <c r="K46" s="30"/>
      <c r="L46" s="30"/>
      <c r="M46" s="30"/>
      <c r="N46" s="30"/>
    </row>
    <row r="47" spans="1:16" x14ac:dyDescent="0.3">
      <c r="A47" s="9" t="s">
        <v>196</v>
      </c>
      <c r="B47" s="30" t="s">
        <v>202</v>
      </c>
      <c r="C47" s="9">
        <v>90357267651</v>
      </c>
      <c r="D47" s="30">
        <v>4</v>
      </c>
      <c r="E47" s="30">
        <v>1</v>
      </c>
      <c r="F47" s="30"/>
      <c r="G47" s="11">
        <v>46507</v>
      </c>
      <c r="H47" s="28" t="s">
        <v>203</v>
      </c>
      <c r="I47" s="30"/>
      <c r="J47" s="30"/>
      <c r="K47" s="30"/>
      <c r="L47" s="30"/>
      <c r="M47" s="30"/>
      <c r="N47" s="30"/>
    </row>
    <row r="48" spans="1:16" x14ac:dyDescent="0.3">
      <c r="A48" s="9" t="s">
        <v>196</v>
      </c>
      <c r="B48" s="30" t="s">
        <v>204</v>
      </c>
      <c r="C48" s="9">
        <v>90055510360</v>
      </c>
      <c r="D48" s="30">
        <v>1</v>
      </c>
      <c r="E48" s="30">
        <v>1</v>
      </c>
      <c r="F48" s="30"/>
      <c r="G48" s="30"/>
      <c r="H48" s="30" t="s">
        <v>147</v>
      </c>
      <c r="I48" s="30"/>
      <c r="J48" s="30"/>
      <c r="K48" s="30"/>
      <c r="L48" s="30"/>
      <c r="M48" s="30"/>
      <c r="N48" s="30"/>
    </row>
    <row r="49" spans="1:14" x14ac:dyDescent="0.3">
      <c r="A49" s="9" t="s">
        <v>196</v>
      </c>
      <c r="B49" s="30" t="s">
        <v>205</v>
      </c>
      <c r="C49" s="9">
        <v>90355011443</v>
      </c>
      <c r="D49" s="30">
        <v>9</v>
      </c>
      <c r="E49" s="30">
        <v>2</v>
      </c>
      <c r="F49" s="30"/>
      <c r="G49" s="30"/>
      <c r="H49" s="30" t="s">
        <v>147</v>
      </c>
      <c r="I49" s="30"/>
      <c r="J49" s="30"/>
      <c r="K49" s="30"/>
      <c r="L49" s="30"/>
      <c r="M49" s="30"/>
      <c r="N49" s="30"/>
    </row>
    <row r="50" spans="1:14" x14ac:dyDescent="0.3">
      <c r="A50" s="9" t="s">
        <v>196</v>
      </c>
      <c r="B50" s="30" t="s">
        <v>206</v>
      </c>
      <c r="C50" s="9">
        <v>90355011443</v>
      </c>
      <c r="D50" s="30">
        <v>9</v>
      </c>
      <c r="E50" s="30">
        <v>2</v>
      </c>
      <c r="F50" s="30"/>
      <c r="G50" s="30"/>
      <c r="H50" s="30" t="s">
        <v>147</v>
      </c>
      <c r="I50" s="30"/>
      <c r="J50" s="30"/>
      <c r="K50" s="30"/>
      <c r="L50" s="30"/>
      <c r="M50" s="30"/>
      <c r="N50" s="30"/>
    </row>
    <row r="51" spans="1:14" x14ac:dyDescent="0.3">
      <c r="A51" s="9" t="s">
        <v>196</v>
      </c>
      <c r="B51" s="30" t="s">
        <v>207</v>
      </c>
      <c r="C51" s="9">
        <v>90355011130</v>
      </c>
      <c r="D51" s="30">
        <v>1</v>
      </c>
      <c r="E51" s="30">
        <v>1</v>
      </c>
      <c r="F51" s="30"/>
      <c r="G51" s="11">
        <v>46204</v>
      </c>
      <c r="H51" s="28" t="s">
        <v>143</v>
      </c>
      <c r="I51" s="30"/>
      <c r="J51" s="30"/>
      <c r="K51" s="30"/>
      <c r="L51" s="30"/>
      <c r="M51" s="30"/>
      <c r="N51" s="30"/>
    </row>
    <row r="52" spans="1:14" x14ac:dyDescent="0.3">
      <c r="A52" s="9" t="s">
        <v>196</v>
      </c>
      <c r="B52" s="30" t="s">
        <v>208</v>
      </c>
      <c r="C52" s="9">
        <v>90054004401</v>
      </c>
      <c r="D52" s="30">
        <v>1</v>
      </c>
      <c r="E52" s="30">
        <v>1</v>
      </c>
      <c r="F52" s="30"/>
      <c r="G52" s="30"/>
      <c r="H52" s="30" t="s">
        <v>147</v>
      </c>
      <c r="I52" s="30"/>
      <c r="J52" s="30"/>
      <c r="K52" s="30"/>
      <c r="L52" s="30"/>
      <c r="M52" s="30"/>
      <c r="N52" s="30"/>
    </row>
    <row r="53" spans="1:14" x14ac:dyDescent="0.3">
      <c r="A53" s="9" t="s">
        <v>196</v>
      </c>
      <c r="B53" s="30" t="s">
        <v>209</v>
      </c>
      <c r="C53" s="9">
        <v>90357267665</v>
      </c>
      <c r="D53" s="30">
        <v>1</v>
      </c>
      <c r="E53" s="30">
        <v>1</v>
      </c>
      <c r="F53" s="30"/>
      <c r="G53" s="11">
        <v>47603</v>
      </c>
      <c r="H53" s="28" t="s">
        <v>210</v>
      </c>
      <c r="I53" s="30"/>
      <c r="J53" s="30"/>
      <c r="K53" s="30"/>
      <c r="L53" s="30"/>
      <c r="M53" s="30"/>
      <c r="N53" s="30"/>
    </row>
    <row r="54" spans="1:14" x14ac:dyDescent="0.3">
      <c r="A54" s="9" t="s">
        <v>196</v>
      </c>
      <c r="B54" s="30" t="s">
        <v>207</v>
      </c>
      <c r="C54" s="9">
        <v>90355011130</v>
      </c>
      <c r="D54" s="30">
        <v>1</v>
      </c>
      <c r="E54" s="30">
        <v>0.5</v>
      </c>
      <c r="F54" s="30"/>
      <c r="G54" s="17">
        <v>46099</v>
      </c>
      <c r="H54" s="28" t="s">
        <v>143</v>
      </c>
      <c r="I54" s="30"/>
      <c r="J54" s="30"/>
      <c r="K54" s="30"/>
      <c r="L54" s="30"/>
      <c r="M54" s="30"/>
      <c r="N54" s="30"/>
    </row>
    <row r="55" spans="1:14" ht="27.6" customHeight="1" x14ac:dyDescent="0.3">
      <c r="A55" s="9" t="s">
        <v>196</v>
      </c>
      <c r="B55" s="30" t="s">
        <v>211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</row>
    <row r="56" spans="1:14" ht="25.2" customHeight="1" x14ac:dyDescent="0.3">
      <c r="A56" s="30"/>
      <c r="B56" s="30"/>
      <c r="C56" s="30" t="s">
        <v>212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spans="1:14" ht="25.95" customHeight="1" x14ac:dyDescent="0.3"/>
    <row r="58" spans="1:14" ht="46.2" x14ac:dyDescent="0.85">
      <c r="C58" s="14" t="s">
        <v>213</v>
      </c>
    </row>
    <row r="59" spans="1:14" ht="46.2" customHeight="1" x14ac:dyDescent="0.3">
      <c r="A59" s="9" t="s">
        <v>61</v>
      </c>
      <c r="B59" s="30" t="s">
        <v>214</v>
      </c>
      <c r="C59" s="30" t="s">
        <v>215</v>
      </c>
      <c r="D59" s="30" t="s">
        <v>216</v>
      </c>
      <c r="E59" s="30" t="s">
        <v>217</v>
      </c>
      <c r="F59" s="30" t="s">
        <v>133</v>
      </c>
      <c r="G59" s="11" t="s">
        <v>218</v>
      </c>
      <c r="H59" t="s">
        <v>219</v>
      </c>
      <c r="I59" t="s">
        <v>7</v>
      </c>
      <c r="J59" s="30" t="s">
        <v>220</v>
      </c>
      <c r="K59" t="s">
        <v>221</v>
      </c>
      <c r="L59" t="s">
        <v>222</v>
      </c>
      <c r="M59" t="s">
        <v>223</v>
      </c>
    </row>
    <row r="60" spans="1:14" x14ac:dyDescent="0.3">
      <c r="A60" s="9" t="s">
        <v>224</v>
      </c>
      <c r="B60" s="30" t="s">
        <v>225</v>
      </c>
      <c r="C60" s="9">
        <v>90355011443</v>
      </c>
      <c r="D60" s="30">
        <v>1</v>
      </c>
      <c r="E60" s="30">
        <v>0.5</v>
      </c>
      <c r="F60" s="30"/>
      <c r="G60" s="11">
        <v>46558</v>
      </c>
      <c r="H60" s="30" t="s">
        <v>147</v>
      </c>
      <c r="I60" s="2" t="s">
        <v>226</v>
      </c>
    </row>
    <row r="61" spans="1:14" x14ac:dyDescent="0.3">
      <c r="A61" s="9" t="s">
        <v>224</v>
      </c>
      <c r="B61" s="30" t="s">
        <v>227</v>
      </c>
      <c r="C61" s="9">
        <v>90355011452</v>
      </c>
      <c r="D61" s="30">
        <v>1</v>
      </c>
      <c r="E61" s="30">
        <v>1</v>
      </c>
      <c r="F61" s="9" t="s">
        <v>228</v>
      </c>
      <c r="G61" s="11">
        <v>47170</v>
      </c>
      <c r="H61" s="30" t="s">
        <v>147</v>
      </c>
      <c r="I61" s="2" t="s">
        <v>226</v>
      </c>
    </row>
    <row r="62" spans="1:14" x14ac:dyDescent="0.3">
      <c r="A62" s="9" t="s">
        <v>224</v>
      </c>
      <c r="B62" s="30" t="s">
        <v>229</v>
      </c>
      <c r="C62" s="9">
        <v>90055501581</v>
      </c>
      <c r="D62" s="30">
        <v>1</v>
      </c>
      <c r="E62" s="30">
        <v>0</v>
      </c>
      <c r="F62" s="9"/>
      <c r="G62" s="11">
        <v>46275</v>
      </c>
      <c r="H62" s="30" t="s">
        <v>147</v>
      </c>
      <c r="I62" s="2" t="s">
        <v>226</v>
      </c>
    </row>
    <row r="63" spans="1:14" x14ac:dyDescent="0.3">
      <c r="A63" s="30"/>
      <c r="B63" s="30" t="s">
        <v>230</v>
      </c>
      <c r="C63" s="30"/>
      <c r="D63" s="30"/>
      <c r="E63" s="30"/>
      <c r="F63" s="2"/>
      <c r="I63" s="2"/>
    </row>
    <row r="64" spans="1:14" x14ac:dyDescent="0.3">
      <c r="A64" s="30"/>
      <c r="B64" s="30"/>
      <c r="C64" s="30"/>
      <c r="D64" s="30"/>
      <c r="E64" s="30"/>
      <c r="F64" s="2"/>
    </row>
    <row r="65" spans="1:10" x14ac:dyDescent="0.3">
      <c r="A65" s="30"/>
      <c r="B65" s="30"/>
      <c r="C65" s="30"/>
      <c r="D65" s="30"/>
      <c r="E65" s="30"/>
      <c r="F65" s="2"/>
    </row>
    <row r="66" spans="1:10" x14ac:dyDescent="0.3">
      <c r="A66" s="9" t="s">
        <v>231</v>
      </c>
      <c r="B66" s="30" t="s">
        <v>227</v>
      </c>
      <c r="C66" s="9">
        <v>90355011452</v>
      </c>
      <c r="D66" s="30">
        <v>1</v>
      </c>
      <c r="E66" s="30">
        <v>1</v>
      </c>
      <c r="F66" s="9" t="s">
        <v>228</v>
      </c>
      <c r="G66" s="11">
        <v>47382</v>
      </c>
      <c r="H66" s="30" t="s">
        <v>147</v>
      </c>
      <c r="I66" s="2" t="s">
        <v>232</v>
      </c>
    </row>
    <row r="67" spans="1:10" x14ac:dyDescent="0.3">
      <c r="A67" s="9" t="s">
        <v>231</v>
      </c>
      <c r="B67" s="30" t="s">
        <v>233</v>
      </c>
      <c r="C67" s="9">
        <v>90055513050</v>
      </c>
      <c r="D67" s="30">
        <v>1</v>
      </c>
      <c r="E67" s="30">
        <v>1</v>
      </c>
      <c r="F67" s="9" t="s">
        <v>228</v>
      </c>
      <c r="G67" s="11">
        <v>47108</v>
      </c>
      <c r="H67" s="30" t="s">
        <v>147</v>
      </c>
      <c r="I67" s="2" t="s">
        <v>232</v>
      </c>
    </row>
    <row r="68" spans="1:10" x14ac:dyDescent="0.3">
      <c r="A68" s="9" t="s">
        <v>231</v>
      </c>
      <c r="B68" s="30" t="s">
        <v>234</v>
      </c>
      <c r="C68" s="9">
        <v>90355011443</v>
      </c>
      <c r="D68" s="30">
        <v>1</v>
      </c>
      <c r="E68" s="30">
        <v>1</v>
      </c>
      <c r="F68" s="9"/>
      <c r="G68" s="11">
        <v>47108</v>
      </c>
      <c r="H68" s="30" t="s">
        <v>147</v>
      </c>
      <c r="I68" s="2" t="s">
        <v>232</v>
      </c>
    </row>
    <row r="69" spans="1:10" x14ac:dyDescent="0.3">
      <c r="A69" s="9" t="s">
        <v>231</v>
      </c>
      <c r="B69" s="30" t="s">
        <v>235</v>
      </c>
      <c r="C69" s="9">
        <v>90355011130</v>
      </c>
      <c r="D69" s="30">
        <v>2</v>
      </c>
      <c r="E69" s="30">
        <v>1</v>
      </c>
      <c r="F69" s="9" t="s">
        <v>228</v>
      </c>
      <c r="G69" s="11">
        <v>47692</v>
      </c>
      <c r="H69" s="28" t="s">
        <v>143</v>
      </c>
      <c r="I69" s="2" t="s">
        <v>232</v>
      </c>
      <c r="J69" t="s">
        <v>22</v>
      </c>
    </row>
    <row r="70" spans="1:10" x14ac:dyDescent="0.3">
      <c r="A70" s="9" t="s">
        <v>231</v>
      </c>
      <c r="B70" s="30" t="s">
        <v>236</v>
      </c>
      <c r="C70" s="9">
        <v>90355032355</v>
      </c>
      <c r="D70" s="30">
        <v>2</v>
      </c>
      <c r="E70" s="30">
        <v>0</v>
      </c>
      <c r="F70" s="9"/>
      <c r="G70" s="16">
        <v>45689</v>
      </c>
      <c r="H70" s="28" t="s">
        <v>237</v>
      </c>
      <c r="I70" s="2" t="s">
        <v>232</v>
      </c>
      <c r="J70" t="s">
        <v>22</v>
      </c>
    </row>
    <row r="71" spans="1:10" x14ac:dyDescent="0.3">
      <c r="A71" s="30"/>
      <c r="B71" s="30"/>
      <c r="C71" s="30"/>
      <c r="D71" s="30"/>
      <c r="E71" s="30"/>
      <c r="F71" s="9"/>
      <c r="G71" s="30"/>
      <c r="H71" s="30"/>
    </row>
    <row r="72" spans="1:10" x14ac:dyDescent="0.3">
      <c r="A72" s="30"/>
      <c r="B72" s="30" t="s">
        <v>238</v>
      </c>
      <c r="C72" s="30"/>
      <c r="D72" s="30"/>
      <c r="E72" s="30"/>
      <c r="F72" s="30"/>
      <c r="G72" s="30"/>
      <c r="H72" s="30"/>
    </row>
    <row r="73" spans="1:10" x14ac:dyDescent="0.3">
      <c r="A73" s="30"/>
      <c r="B73" s="30"/>
      <c r="C73" s="30"/>
      <c r="D73" s="30"/>
      <c r="E73" s="30"/>
      <c r="F73" s="30"/>
      <c r="G73" s="30"/>
      <c r="H73" s="30"/>
    </row>
    <row r="74" spans="1:10" x14ac:dyDescent="0.3">
      <c r="A74" s="9" t="s">
        <v>239</v>
      </c>
      <c r="B74" s="30" t="s">
        <v>240</v>
      </c>
      <c r="C74" s="30"/>
      <c r="D74" s="30">
        <v>1</v>
      </c>
      <c r="E74" s="30">
        <v>1</v>
      </c>
      <c r="F74" s="9" t="s">
        <v>241</v>
      </c>
      <c r="G74" s="30"/>
      <c r="H74" s="30" t="s">
        <v>147</v>
      </c>
      <c r="J74" t="s">
        <v>22</v>
      </c>
    </row>
    <row r="75" spans="1:10" x14ac:dyDescent="0.3">
      <c r="A75" s="9" t="s">
        <v>239</v>
      </c>
      <c r="B75" s="30" t="s">
        <v>242</v>
      </c>
      <c r="C75" s="9">
        <v>9035726778</v>
      </c>
      <c r="D75" s="30">
        <v>5</v>
      </c>
      <c r="E75" s="30">
        <v>1</v>
      </c>
      <c r="F75" s="9" t="s">
        <v>243</v>
      </c>
      <c r="G75" s="11">
        <v>47542</v>
      </c>
      <c r="H75" s="30" t="s">
        <v>147</v>
      </c>
    </row>
    <row r="76" spans="1:10" x14ac:dyDescent="0.3">
      <c r="A76" s="9" t="s">
        <v>239</v>
      </c>
      <c r="B76" s="30" t="s">
        <v>244</v>
      </c>
      <c r="C76" s="9">
        <v>90357267660</v>
      </c>
      <c r="D76" s="30">
        <v>4</v>
      </c>
      <c r="E76" s="30">
        <v>1</v>
      </c>
      <c r="F76" s="9" t="s">
        <v>243</v>
      </c>
      <c r="G76" s="11">
        <v>47635</v>
      </c>
      <c r="H76" s="28" t="s">
        <v>203</v>
      </c>
      <c r="J76" t="s">
        <v>22</v>
      </c>
    </row>
    <row r="77" spans="1:10" x14ac:dyDescent="0.3">
      <c r="A77" s="9" t="s">
        <v>239</v>
      </c>
      <c r="B77" s="30" t="s">
        <v>245</v>
      </c>
      <c r="C77" s="9">
        <v>90355011452</v>
      </c>
      <c r="D77" s="30">
        <v>3</v>
      </c>
      <c r="E77" s="30">
        <v>0</v>
      </c>
      <c r="F77" s="9"/>
      <c r="G77" s="11">
        <v>47399</v>
      </c>
      <c r="H77" s="30" t="s">
        <v>147</v>
      </c>
      <c r="J77" t="s">
        <v>22</v>
      </c>
    </row>
    <row r="78" spans="1:10" x14ac:dyDescent="0.3">
      <c r="A78" s="9" t="s">
        <v>239</v>
      </c>
      <c r="B78" s="30" t="s">
        <v>246</v>
      </c>
      <c r="C78" s="9">
        <v>9035501152</v>
      </c>
      <c r="D78" s="30">
        <v>1</v>
      </c>
      <c r="E78" s="30">
        <v>1</v>
      </c>
      <c r="F78" s="9"/>
      <c r="G78" s="11">
        <v>47400</v>
      </c>
      <c r="H78" s="30" t="s">
        <v>147</v>
      </c>
      <c r="J78" t="s">
        <v>22</v>
      </c>
    </row>
    <row r="79" spans="1:10" x14ac:dyDescent="0.3">
      <c r="A79" s="9" t="s">
        <v>239</v>
      </c>
      <c r="B79" s="30" t="s">
        <v>207</v>
      </c>
      <c r="C79" s="9">
        <v>90355011130</v>
      </c>
      <c r="D79" s="30">
        <v>3</v>
      </c>
      <c r="E79" s="30">
        <v>1</v>
      </c>
      <c r="F79" s="9" t="s">
        <v>161</v>
      </c>
      <c r="G79" s="11">
        <v>46316</v>
      </c>
      <c r="H79" s="28" t="s">
        <v>143</v>
      </c>
      <c r="J79" t="s">
        <v>22</v>
      </c>
    </row>
    <row r="80" spans="1:10" x14ac:dyDescent="0.3">
      <c r="A80" s="30"/>
      <c r="B80" s="30"/>
      <c r="C80" s="30"/>
      <c r="D80" s="30"/>
      <c r="E80" s="30"/>
      <c r="F80" s="30"/>
      <c r="G80" s="30"/>
      <c r="H80" s="30"/>
    </row>
    <row r="81" spans="1:10" x14ac:dyDescent="0.3">
      <c r="A81" s="9" t="s">
        <v>247</v>
      </c>
      <c r="B81" s="30" t="s">
        <v>245</v>
      </c>
      <c r="C81" s="9">
        <v>90355011452</v>
      </c>
      <c r="D81" s="30">
        <v>2</v>
      </c>
      <c r="E81" s="30">
        <v>2</v>
      </c>
      <c r="F81" s="9" t="s">
        <v>248</v>
      </c>
      <c r="G81" s="11">
        <v>47399</v>
      </c>
      <c r="H81" s="30" t="s">
        <v>147</v>
      </c>
      <c r="I81" s="2" t="s">
        <v>249</v>
      </c>
      <c r="J81" t="s">
        <v>22</v>
      </c>
    </row>
    <row r="82" spans="1:10" x14ac:dyDescent="0.3">
      <c r="A82" s="9" t="s">
        <v>247</v>
      </c>
      <c r="B82" s="30" t="s">
        <v>250</v>
      </c>
      <c r="C82" s="9">
        <v>90356662080</v>
      </c>
      <c r="D82" s="30">
        <v>1</v>
      </c>
      <c r="E82" s="30">
        <v>1</v>
      </c>
      <c r="F82" s="30"/>
      <c r="G82" s="20">
        <v>45748</v>
      </c>
      <c r="H82" s="30" t="s">
        <v>251</v>
      </c>
      <c r="I82" s="2" t="s">
        <v>249</v>
      </c>
    </row>
    <row r="83" spans="1:10" x14ac:dyDescent="0.3">
      <c r="A83" s="9" t="s">
        <v>247</v>
      </c>
      <c r="B83" s="30" t="s">
        <v>160</v>
      </c>
      <c r="C83" s="9">
        <v>90355011130</v>
      </c>
      <c r="D83" s="30">
        <v>1</v>
      </c>
      <c r="E83" s="30">
        <v>1</v>
      </c>
      <c r="F83" s="9" t="s">
        <v>228</v>
      </c>
      <c r="G83" s="11">
        <v>46204</v>
      </c>
      <c r="H83" s="28" t="s">
        <v>143</v>
      </c>
      <c r="I83" s="2" t="s">
        <v>249</v>
      </c>
      <c r="J83" t="s">
        <v>22</v>
      </c>
    </row>
    <row r="84" spans="1:10" x14ac:dyDescent="0.3">
      <c r="A84" s="30"/>
      <c r="B84" s="30"/>
      <c r="C84" s="30" t="s">
        <v>252</v>
      </c>
      <c r="D84" s="30"/>
      <c r="E84" s="30"/>
      <c r="F84" s="30"/>
      <c r="G84" s="30"/>
      <c r="H84" s="30"/>
    </row>
    <row r="85" spans="1:10" x14ac:dyDescent="0.3">
      <c r="A85" s="9" t="s">
        <v>253</v>
      </c>
      <c r="B85" s="30" t="s">
        <v>254</v>
      </c>
      <c r="C85" s="9">
        <v>90355011451</v>
      </c>
      <c r="D85" s="30">
        <v>5</v>
      </c>
      <c r="E85" s="30">
        <v>0.5</v>
      </c>
      <c r="F85" s="9" t="s">
        <v>255</v>
      </c>
      <c r="G85" s="11">
        <v>46691</v>
      </c>
      <c r="H85" s="28" t="s">
        <v>256</v>
      </c>
      <c r="I85" s="2" t="s">
        <v>257</v>
      </c>
    </row>
    <row r="86" spans="1:10" x14ac:dyDescent="0.3">
      <c r="A86" s="9" t="s">
        <v>253</v>
      </c>
      <c r="B86" s="30" t="s">
        <v>258</v>
      </c>
      <c r="C86" s="30">
        <v>90055510481</v>
      </c>
      <c r="D86" s="30">
        <v>1</v>
      </c>
      <c r="E86" s="30">
        <v>0.5</v>
      </c>
      <c r="F86" s="30"/>
      <c r="G86" s="20">
        <v>44075</v>
      </c>
      <c r="H86" s="28" t="s">
        <v>259</v>
      </c>
      <c r="I86" s="2" t="s">
        <v>257</v>
      </c>
    </row>
    <row r="87" spans="1:10" x14ac:dyDescent="0.3">
      <c r="A87" s="9" t="s">
        <v>253</v>
      </c>
      <c r="B87" s="30" t="s">
        <v>260</v>
      </c>
      <c r="C87" s="9">
        <v>90358264672</v>
      </c>
      <c r="D87" s="30">
        <v>3</v>
      </c>
      <c r="E87" s="30">
        <v>1</v>
      </c>
      <c r="F87" s="9" t="s">
        <v>261</v>
      </c>
      <c r="G87" s="21">
        <v>45995</v>
      </c>
      <c r="H87" s="28" t="s">
        <v>145</v>
      </c>
      <c r="I87" s="2" t="s">
        <v>257</v>
      </c>
    </row>
    <row r="88" spans="1:10" x14ac:dyDescent="0.3">
      <c r="A88" s="9" t="s">
        <v>253</v>
      </c>
      <c r="B88" s="30" t="s">
        <v>160</v>
      </c>
      <c r="C88" s="9">
        <v>90355011130</v>
      </c>
      <c r="D88" s="30">
        <v>4</v>
      </c>
      <c r="E88" s="30">
        <v>1</v>
      </c>
      <c r="F88" s="9" t="s">
        <v>262</v>
      </c>
      <c r="G88" s="11">
        <v>46316</v>
      </c>
      <c r="H88" s="28" t="s">
        <v>143</v>
      </c>
      <c r="I88" s="2" t="s">
        <v>257</v>
      </c>
      <c r="J88" t="s">
        <v>22</v>
      </c>
    </row>
    <row r="89" spans="1:10" x14ac:dyDescent="0.3">
      <c r="A89" s="9" t="s">
        <v>253</v>
      </c>
      <c r="B89" s="30" t="s">
        <v>152</v>
      </c>
      <c r="C89" s="9"/>
      <c r="D89" s="30">
        <v>2</v>
      </c>
      <c r="E89" s="30">
        <v>0</v>
      </c>
      <c r="F89" s="30"/>
      <c r="G89" s="11">
        <v>47483</v>
      </c>
      <c r="H89" s="28" t="s">
        <v>155</v>
      </c>
      <c r="I89" s="2" t="s">
        <v>257</v>
      </c>
    </row>
    <row r="90" spans="1:10" x14ac:dyDescent="0.3">
      <c r="A90" s="9" t="s">
        <v>253</v>
      </c>
      <c r="B90" s="30" t="s">
        <v>263</v>
      </c>
      <c r="C90" s="9">
        <v>90358249900</v>
      </c>
      <c r="D90" s="30">
        <v>1</v>
      </c>
      <c r="E90" s="30">
        <v>0</v>
      </c>
      <c r="F90" s="9" t="s">
        <v>264</v>
      </c>
      <c r="G90" s="30"/>
      <c r="H90" s="28" t="s">
        <v>265</v>
      </c>
      <c r="I90" s="2" t="s">
        <v>257</v>
      </c>
      <c r="J90" t="s">
        <v>22</v>
      </c>
    </row>
    <row r="91" spans="1:10" x14ac:dyDescent="0.3">
      <c r="A91" s="9" t="s">
        <v>253</v>
      </c>
      <c r="B91" s="30" t="s">
        <v>266</v>
      </c>
      <c r="C91" s="9">
        <v>90055510360</v>
      </c>
      <c r="D91" s="30">
        <v>1</v>
      </c>
      <c r="E91" s="30">
        <v>1</v>
      </c>
      <c r="F91" s="30"/>
      <c r="G91" s="10">
        <v>46388</v>
      </c>
      <c r="H91" s="30" t="s">
        <v>188</v>
      </c>
      <c r="I91" s="2" t="s">
        <v>257</v>
      </c>
    </row>
    <row r="92" spans="1:10" x14ac:dyDescent="0.3">
      <c r="A92" s="9" t="s">
        <v>253</v>
      </c>
      <c r="B92" s="30" t="s">
        <v>267</v>
      </c>
      <c r="C92" s="9">
        <v>90355011443</v>
      </c>
      <c r="D92" s="30">
        <v>1</v>
      </c>
      <c r="E92" s="30">
        <v>1</v>
      </c>
      <c r="F92" s="9" t="s">
        <v>268</v>
      </c>
      <c r="G92" s="11">
        <v>46819</v>
      </c>
      <c r="H92" s="30" t="s">
        <v>188</v>
      </c>
      <c r="I92" s="2" t="s">
        <v>257</v>
      </c>
    </row>
    <row r="93" spans="1:10" x14ac:dyDescent="0.3">
      <c r="A93" s="9" t="s">
        <v>253</v>
      </c>
      <c r="B93" s="30" t="s">
        <v>235</v>
      </c>
      <c r="C93" s="9">
        <v>90355011130</v>
      </c>
      <c r="D93" s="30">
        <v>1</v>
      </c>
      <c r="E93" s="30">
        <v>1</v>
      </c>
      <c r="F93" s="9" t="s">
        <v>228</v>
      </c>
      <c r="G93" s="11">
        <v>47205</v>
      </c>
      <c r="H93" s="28" t="s">
        <v>143</v>
      </c>
      <c r="I93" s="2" t="s">
        <v>257</v>
      </c>
      <c r="J93" t="s">
        <v>22</v>
      </c>
    </row>
    <row r="94" spans="1:10" x14ac:dyDescent="0.3">
      <c r="A94" s="9" t="s">
        <v>253</v>
      </c>
      <c r="B94" s="30" t="s">
        <v>245</v>
      </c>
      <c r="C94" s="9">
        <v>90355011452</v>
      </c>
      <c r="D94" s="30">
        <v>4</v>
      </c>
      <c r="E94" s="30">
        <v>1</v>
      </c>
      <c r="F94" s="9" t="s">
        <v>269</v>
      </c>
      <c r="G94" s="11">
        <v>47399</v>
      </c>
      <c r="H94" s="30" t="s">
        <v>188</v>
      </c>
      <c r="I94" s="2" t="s">
        <v>257</v>
      </c>
      <c r="J94" t="s">
        <v>22</v>
      </c>
    </row>
    <row r="95" spans="1:10" x14ac:dyDescent="0.3">
      <c r="A95" s="30" t="s">
        <v>270</v>
      </c>
      <c r="B95" s="30" t="s">
        <v>271</v>
      </c>
      <c r="C95" s="30"/>
      <c r="D95" s="30"/>
      <c r="E95" s="30"/>
      <c r="F95" s="30"/>
      <c r="G95" s="30"/>
      <c r="H95" s="30"/>
    </row>
    <row r="96" spans="1:10" x14ac:dyDescent="0.3">
      <c r="A96" s="9"/>
      <c r="B96" s="30"/>
      <c r="C96" s="30"/>
      <c r="D96" s="30"/>
      <c r="E96" s="30"/>
      <c r="F96" s="30"/>
      <c r="G96" s="30"/>
      <c r="H96" s="30"/>
    </row>
    <row r="97" spans="1:10" x14ac:dyDescent="0.3">
      <c r="A97" s="9" t="s">
        <v>272</v>
      </c>
      <c r="B97" s="30" t="s">
        <v>273</v>
      </c>
      <c r="C97" s="30"/>
      <c r="D97" s="30"/>
      <c r="E97" s="30"/>
      <c r="F97" s="30"/>
      <c r="G97" s="30"/>
      <c r="H97" s="30"/>
    </row>
    <row r="98" spans="1:10" x14ac:dyDescent="0.3">
      <c r="A98" s="9" t="s">
        <v>274</v>
      </c>
      <c r="B98" s="30" t="s">
        <v>275</v>
      </c>
      <c r="C98" s="9">
        <v>90357261660</v>
      </c>
      <c r="D98" s="30">
        <v>6</v>
      </c>
      <c r="E98" s="30">
        <v>2</v>
      </c>
      <c r="F98" s="9" t="s">
        <v>276</v>
      </c>
      <c r="G98" s="10">
        <v>47635</v>
      </c>
      <c r="H98" s="28" t="s">
        <v>203</v>
      </c>
      <c r="I98" s="2" t="s">
        <v>277</v>
      </c>
    </row>
    <row r="99" spans="1:10" x14ac:dyDescent="0.3">
      <c r="A99" s="9" t="s">
        <v>274</v>
      </c>
      <c r="B99" s="30" t="s">
        <v>278</v>
      </c>
      <c r="C99" s="30"/>
      <c r="D99" s="30">
        <v>6</v>
      </c>
      <c r="E99" s="30">
        <v>2</v>
      </c>
      <c r="F99" s="9" t="s">
        <v>276</v>
      </c>
      <c r="G99" s="11">
        <v>47542</v>
      </c>
      <c r="H99" s="30" t="s">
        <v>188</v>
      </c>
      <c r="I99" s="2" t="s">
        <v>277</v>
      </c>
    </row>
    <row r="100" spans="1:10" x14ac:dyDescent="0.3">
      <c r="A100" s="9" t="s">
        <v>274</v>
      </c>
      <c r="B100" s="30" t="s">
        <v>279</v>
      </c>
      <c r="C100" s="9">
        <v>90355011452</v>
      </c>
      <c r="D100" s="30">
        <v>6</v>
      </c>
      <c r="E100" s="30">
        <v>2</v>
      </c>
      <c r="F100" s="9" t="s">
        <v>280</v>
      </c>
      <c r="G100" s="11">
        <v>47399</v>
      </c>
      <c r="H100" s="30" t="s">
        <v>188</v>
      </c>
      <c r="I100" s="2" t="s">
        <v>277</v>
      </c>
      <c r="J100" t="s">
        <v>22</v>
      </c>
    </row>
    <row r="101" spans="1:10" x14ac:dyDescent="0.3">
      <c r="A101" s="9" t="s">
        <v>274</v>
      </c>
      <c r="B101" s="30" t="s">
        <v>281</v>
      </c>
      <c r="C101" s="9">
        <v>90355011130</v>
      </c>
      <c r="D101" s="30">
        <v>3</v>
      </c>
      <c r="E101" s="30">
        <v>1</v>
      </c>
      <c r="F101" s="9" t="s">
        <v>282</v>
      </c>
      <c r="G101" s="11">
        <v>46316</v>
      </c>
      <c r="H101" s="28" t="s">
        <v>143</v>
      </c>
      <c r="I101" s="2" t="s">
        <v>277</v>
      </c>
      <c r="J101" t="s">
        <v>22</v>
      </c>
    </row>
    <row r="102" spans="1:10" x14ac:dyDescent="0.3">
      <c r="A102" s="9" t="s">
        <v>274</v>
      </c>
      <c r="B102" s="30" t="s">
        <v>152</v>
      </c>
      <c r="C102" s="30"/>
      <c r="D102" s="30">
        <v>1</v>
      </c>
      <c r="E102" s="30">
        <v>1</v>
      </c>
      <c r="F102" s="30"/>
      <c r="G102" s="30"/>
      <c r="H102" s="30" t="s">
        <v>251</v>
      </c>
      <c r="I102" s="2" t="s">
        <v>277</v>
      </c>
    </row>
    <row r="103" spans="1:10" x14ac:dyDescent="0.3">
      <c r="A103" s="9" t="s">
        <v>274</v>
      </c>
      <c r="B103" s="30" t="s">
        <v>283</v>
      </c>
      <c r="C103" s="30"/>
      <c r="D103" s="30">
        <v>1</v>
      </c>
      <c r="E103" s="30">
        <v>1</v>
      </c>
      <c r="F103" s="9" t="s">
        <v>284</v>
      </c>
      <c r="G103" s="20">
        <v>45689</v>
      </c>
      <c r="H103" s="28" t="s">
        <v>285</v>
      </c>
      <c r="I103" s="2" t="s">
        <v>277</v>
      </c>
      <c r="J103" t="s">
        <v>22</v>
      </c>
    </row>
    <row r="104" spans="1:10" x14ac:dyDescent="0.3">
      <c r="A104" s="9" t="s">
        <v>274</v>
      </c>
      <c r="B104" s="30" t="s">
        <v>286</v>
      </c>
      <c r="C104" s="30"/>
      <c r="D104" s="30">
        <v>4</v>
      </c>
      <c r="E104" s="30">
        <v>0.5</v>
      </c>
      <c r="F104" s="30"/>
      <c r="G104" s="20">
        <v>45474</v>
      </c>
      <c r="H104" s="30" t="s">
        <v>251</v>
      </c>
      <c r="I104" s="2" t="s">
        <v>277</v>
      </c>
    </row>
    <row r="105" spans="1:10" x14ac:dyDescent="0.3">
      <c r="A105" s="9" t="s">
        <v>274</v>
      </c>
      <c r="B105" s="30" t="s">
        <v>287</v>
      </c>
      <c r="C105" s="30"/>
      <c r="D105" s="30">
        <v>1</v>
      </c>
      <c r="E105" s="30">
        <v>1</v>
      </c>
      <c r="F105" s="30"/>
      <c r="G105" s="30"/>
      <c r="H105" s="30" t="s">
        <v>251</v>
      </c>
      <c r="I105" s="2" t="s">
        <v>277</v>
      </c>
    </row>
    <row r="106" spans="1:10" x14ac:dyDescent="0.3">
      <c r="A106" s="9" t="s">
        <v>274</v>
      </c>
      <c r="B106" s="30" t="s">
        <v>240</v>
      </c>
      <c r="C106" s="30"/>
      <c r="D106" s="30">
        <v>1</v>
      </c>
      <c r="E106" s="30">
        <v>0.75</v>
      </c>
      <c r="F106" s="30"/>
      <c r="G106" s="30"/>
      <c r="H106" s="30" t="s">
        <v>147</v>
      </c>
      <c r="I106" s="2" t="s">
        <v>277</v>
      </c>
      <c r="J106" t="s">
        <v>22</v>
      </c>
    </row>
    <row r="107" spans="1:10" x14ac:dyDescent="0.3">
      <c r="A107" s="30"/>
      <c r="B107" s="30" t="s">
        <v>288</v>
      </c>
      <c r="C107" s="30"/>
      <c r="D107" s="30"/>
      <c r="E107" s="30"/>
      <c r="F107" s="30"/>
      <c r="G107" s="30"/>
      <c r="H107" s="30"/>
    </row>
    <row r="109" spans="1:10" x14ac:dyDescent="0.3">
      <c r="B109" s="22"/>
    </row>
    <row r="110" spans="1:10" ht="13.2" customHeight="1" x14ac:dyDescent="0.3">
      <c r="B110" s="44" t="s">
        <v>289</v>
      </c>
      <c r="C110" s="44" t="s">
        <v>290</v>
      </c>
    </row>
    <row r="111" spans="1:10" x14ac:dyDescent="0.3">
      <c r="B111" s="43" t="s">
        <v>291</v>
      </c>
      <c r="C111" s="43">
        <v>12</v>
      </c>
    </row>
    <row r="112" spans="1:10" x14ac:dyDescent="0.3">
      <c r="B112" s="43" t="s">
        <v>292</v>
      </c>
      <c r="C112" s="43">
        <v>15</v>
      </c>
    </row>
    <row r="113" spans="2:3" x14ac:dyDescent="0.3">
      <c r="B113" s="43" t="s">
        <v>293</v>
      </c>
      <c r="C113" s="43">
        <v>5</v>
      </c>
    </row>
    <row r="114" spans="2:3" x14ac:dyDescent="0.3">
      <c r="B114" s="43" t="s">
        <v>294</v>
      </c>
      <c r="C114" s="43">
        <v>25</v>
      </c>
    </row>
    <row r="115" spans="2:3" x14ac:dyDescent="0.3">
      <c r="B115" s="43" t="s">
        <v>295</v>
      </c>
      <c r="C115" s="43">
        <v>13</v>
      </c>
    </row>
    <row r="118" spans="2:3" ht="100.8" x14ac:dyDescent="0.3">
      <c r="B118" s="22" t="s">
        <v>296</v>
      </c>
    </row>
    <row r="120" spans="2:3" x14ac:dyDescent="0.3">
      <c r="B120" s="43" t="s">
        <v>297</v>
      </c>
      <c r="C120" s="43" t="s">
        <v>290</v>
      </c>
    </row>
    <row r="121" spans="2:3" x14ac:dyDescent="0.3">
      <c r="B121" s="43" t="s">
        <v>291</v>
      </c>
      <c r="C121" s="43">
        <v>5</v>
      </c>
    </row>
    <row r="122" spans="2:3" x14ac:dyDescent="0.3">
      <c r="B122" s="43" t="s">
        <v>292</v>
      </c>
      <c r="C122" s="43">
        <v>5</v>
      </c>
    </row>
    <row r="123" spans="2:3" x14ac:dyDescent="0.3">
      <c r="B123" s="43" t="s">
        <v>293</v>
      </c>
      <c r="C123" s="43">
        <v>2</v>
      </c>
    </row>
    <row r="124" spans="2:3" x14ac:dyDescent="0.3">
      <c r="B124" s="43" t="s">
        <v>294</v>
      </c>
      <c r="C124" s="43">
        <v>13</v>
      </c>
    </row>
    <row r="125" spans="2:3" x14ac:dyDescent="0.3">
      <c r="B125" s="43" t="s">
        <v>295</v>
      </c>
      <c r="C125" s="43">
        <v>8</v>
      </c>
    </row>
    <row r="128" spans="2:3" ht="76.5" customHeight="1" x14ac:dyDescent="0.3">
      <c r="B128" s="22" t="s">
        <v>298</v>
      </c>
    </row>
    <row r="131" spans="8:8" x14ac:dyDescent="0.3">
      <c r="H131" s="54"/>
    </row>
  </sheetData>
  <pageMargins left="0.75" right="0.75" top="1" bottom="1" header="0.5" footer="0.5"/>
  <headerFooter>
    <oddHeader>&amp;C&amp;"Aptos"&amp;1 &amp;KFF8C00 C2 - Confidential#_x000D_</oddHeader>
  </headerFooter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selection activeCell="A22" sqref="A22:D22"/>
    </sheetView>
  </sheetViews>
  <sheetFormatPr baseColWidth="10" defaultColWidth="9.109375" defaultRowHeight="14.4" x14ac:dyDescent="0.3"/>
  <cols>
    <col min="1" max="1" width="25.109375" customWidth="1"/>
    <col min="2" max="2" width="32" customWidth="1"/>
    <col min="3" max="3" width="30.5546875" customWidth="1"/>
    <col min="4" max="4" width="27" customWidth="1"/>
  </cols>
  <sheetData>
    <row r="1" spans="1:4" x14ac:dyDescent="0.3">
      <c r="A1" s="32" t="s">
        <v>299</v>
      </c>
    </row>
    <row r="3" spans="1:4" x14ac:dyDescent="0.3">
      <c r="A3" s="33" t="s">
        <v>300</v>
      </c>
      <c r="B3" s="33" t="s">
        <v>301</v>
      </c>
      <c r="C3" s="33" t="s">
        <v>302</v>
      </c>
      <c r="D3" s="33" t="s">
        <v>303</v>
      </c>
    </row>
    <row r="4" spans="1:4" x14ac:dyDescent="0.3">
      <c r="A4" t="s">
        <v>304</v>
      </c>
      <c r="B4" s="9">
        <v>15</v>
      </c>
      <c r="C4" s="30">
        <v>70</v>
      </c>
      <c r="D4" s="9">
        <f>B4/C4*100</f>
        <v>21.428571428571427</v>
      </c>
    </row>
    <row r="5" spans="1:4" x14ac:dyDescent="0.3">
      <c r="A5" t="s">
        <v>305</v>
      </c>
      <c r="B5" s="9">
        <v>55</v>
      </c>
      <c r="C5" s="30">
        <v>70</v>
      </c>
      <c r="D5" s="47">
        <f>B5/C5*100</f>
        <v>78.571428571428569</v>
      </c>
    </row>
    <row r="6" spans="1:4" x14ac:dyDescent="0.3">
      <c r="A6" t="s">
        <v>306</v>
      </c>
      <c r="B6" s="9">
        <v>17</v>
      </c>
      <c r="C6" s="30">
        <v>70</v>
      </c>
      <c r="D6" s="9">
        <f>B6/C6*100</f>
        <v>24.285714285714285</v>
      </c>
    </row>
    <row r="7" spans="1:4" x14ac:dyDescent="0.3">
      <c r="A7" t="s">
        <v>307</v>
      </c>
      <c r="B7" s="9">
        <v>20</v>
      </c>
      <c r="C7" s="30">
        <v>70</v>
      </c>
      <c r="D7" s="9">
        <f>B7/C7*100</f>
        <v>28.571428571428569</v>
      </c>
    </row>
    <row r="8" spans="1:4" x14ac:dyDescent="0.3">
      <c r="A8" t="s">
        <v>308</v>
      </c>
      <c r="B8" s="9">
        <v>7</v>
      </c>
      <c r="C8" s="30">
        <v>70</v>
      </c>
      <c r="D8" s="9">
        <f>B8/C8*100</f>
        <v>10</v>
      </c>
    </row>
    <row r="9" spans="1:4" x14ac:dyDescent="0.3">
      <c r="C9" s="30"/>
      <c r="D9" s="9"/>
    </row>
    <row r="10" spans="1:4" x14ac:dyDescent="0.3">
      <c r="B10" s="2" t="s">
        <v>309</v>
      </c>
      <c r="C10" s="30"/>
      <c r="D10" s="9"/>
    </row>
    <row r="12" spans="1:4" x14ac:dyDescent="0.3">
      <c r="A12" s="33" t="s">
        <v>310</v>
      </c>
    </row>
    <row r="13" spans="1:4" ht="30.75" customHeight="1" x14ac:dyDescent="0.3">
      <c r="A13" s="48" t="s">
        <v>311</v>
      </c>
      <c r="B13" s="48"/>
      <c r="C13" s="48"/>
      <c r="D13" s="48"/>
    </row>
    <row r="14" spans="1:4" ht="27" customHeight="1" x14ac:dyDescent="0.3">
      <c r="A14" t="s">
        <v>312</v>
      </c>
    </row>
    <row r="15" spans="1:4" ht="24" customHeight="1" x14ac:dyDescent="0.3">
      <c r="A15" t="s">
        <v>313</v>
      </c>
    </row>
    <row r="16" spans="1:4" x14ac:dyDescent="0.3">
      <c r="A16" t="s">
        <v>314</v>
      </c>
    </row>
    <row r="17" spans="1:4" x14ac:dyDescent="0.3">
      <c r="A17" t="s">
        <v>315</v>
      </c>
    </row>
    <row r="18" spans="1:4" x14ac:dyDescent="0.3">
      <c r="A18" t="s">
        <v>316</v>
      </c>
    </row>
    <row r="19" spans="1:4" x14ac:dyDescent="0.3">
      <c r="A19" t="s">
        <v>317</v>
      </c>
    </row>
    <row r="20" spans="1:4" x14ac:dyDescent="0.3">
      <c r="A20" t="s">
        <v>318</v>
      </c>
    </row>
    <row r="21" spans="1:4" ht="12" customHeight="1" x14ac:dyDescent="0.3">
      <c r="A21" t="s">
        <v>319</v>
      </c>
    </row>
    <row r="22" spans="1:4" ht="42.6" customHeight="1" x14ac:dyDescent="0.3">
      <c r="A22" s="49" t="s">
        <v>320</v>
      </c>
      <c r="B22" s="50"/>
      <c r="C22" s="50"/>
      <c r="D22" s="50"/>
    </row>
    <row r="24" spans="1:4" ht="43.2" x14ac:dyDescent="0.3">
      <c r="B24" s="22" t="s">
        <v>321</v>
      </c>
    </row>
  </sheetData>
  <mergeCells count="2">
    <mergeCell ref="A13:D13"/>
    <mergeCell ref="A22:D22"/>
  </mergeCells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A26-E114-4EB8-B709-7F463ABD8496}">
  <dimension ref="D2:M10"/>
  <sheetViews>
    <sheetView topLeftCell="A5" workbookViewId="0">
      <selection activeCell="I7" sqref="I7"/>
    </sheetView>
  </sheetViews>
  <sheetFormatPr baseColWidth="10" defaultColWidth="8.88671875" defaultRowHeight="14.4" x14ac:dyDescent="0.3"/>
  <cols>
    <col min="2" max="2" width="2.44140625" customWidth="1"/>
    <col min="3" max="3" width="0" hidden="1" customWidth="1"/>
    <col min="4" max="4" width="30.33203125" customWidth="1"/>
    <col min="5" max="5" width="57.44140625" customWidth="1"/>
  </cols>
  <sheetData>
    <row r="2" spans="4:13" ht="21" x14ac:dyDescent="0.4">
      <c r="F2" s="53" t="s">
        <v>322</v>
      </c>
      <c r="G2" s="53"/>
      <c r="H2" s="53"/>
      <c r="I2" s="53"/>
      <c r="J2" s="53"/>
      <c r="K2" s="53"/>
      <c r="L2" s="53"/>
      <c r="M2" s="53"/>
    </row>
    <row r="3" spans="4:13" ht="51.75" customHeight="1" x14ac:dyDescent="0.3"/>
    <row r="4" spans="4:13" ht="64.5" customHeight="1" x14ac:dyDescent="0.3">
      <c r="D4" s="33" t="s">
        <v>323</v>
      </c>
      <c r="E4" s="34" t="s">
        <v>324</v>
      </c>
    </row>
    <row r="5" spans="4:13" ht="54.75" customHeight="1" x14ac:dyDescent="0.3">
      <c r="D5" s="33" t="s">
        <v>305</v>
      </c>
      <c r="E5" s="34" t="s">
        <v>325</v>
      </c>
    </row>
    <row r="6" spans="4:13" ht="47.25" customHeight="1" x14ac:dyDescent="0.3">
      <c r="D6" s="33" t="s">
        <v>326</v>
      </c>
      <c r="E6" s="35" t="s">
        <v>327</v>
      </c>
    </row>
    <row r="7" spans="4:13" ht="36.75" customHeight="1" x14ac:dyDescent="0.3">
      <c r="D7" s="33" t="s">
        <v>328</v>
      </c>
      <c r="E7" s="35" t="s">
        <v>329</v>
      </c>
    </row>
    <row r="8" spans="4:13" ht="42" customHeight="1" x14ac:dyDescent="0.3">
      <c r="D8" s="33" t="s">
        <v>330</v>
      </c>
      <c r="E8" s="34" t="s">
        <v>331</v>
      </c>
    </row>
    <row r="9" spans="4:13" ht="44.25" customHeight="1" x14ac:dyDescent="0.3">
      <c r="D9" s="33" t="s">
        <v>332</v>
      </c>
      <c r="E9" s="35" t="s">
        <v>333</v>
      </c>
    </row>
    <row r="10" spans="4:13" ht="67.5" customHeight="1" x14ac:dyDescent="0.3">
      <c r="D10" s="33" t="s">
        <v>334</v>
      </c>
      <c r="E10" s="36" t="s">
        <v>335</v>
      </c>
    </row>
  </sheetData>
  <mergeCells count="1">
    <mergeCell ref="F2:M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142c09-e703-4e31-9724-e164518f651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F69885E7C5145A174AF6BDB50D384" ma:contentTypeVersion="5" ma:contentTypeDescription="Create a new document." ma:contentTypeScope="" ma:versionID="c29a3ed57e5b356c51db00a9728e25c8">
  <xsd:schema xmlns:xsd="http://www.w3.org/2001/XMLSchema" xmlns:xs="http://www.w3.org/2001/XMLSchema" xmlns:p="http://schemas.microsoft.com/office/2006/metadata/properties" xmlns:ns3="7e142c09-e703-4e31-9724-e164518f651d" targetNamespace="http://schemas.microsoft.com/office/2006/metadata/properties" ma:root="true" ma:fieldsID="327122ba9e04ad37c1c08f4faf57ec99" ns3:_="">
    <xsd:import namespace="7e142c09-e703-4e31-9724-e164518f651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42c09-e703-4e31-9724-e164518f651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2B0036-4CFB-4B5A-874F-3B631FF6416D}">
  <ds:schemaRefs>
    <ds:schemaRef ds:uri="http://schemas.microsoft.com/office/2006/metadata/properties"/>
    <ds:schemaRef ds:uri="http://schemas.microsoft.com/office/infopath/2007/PartnerControls"/>
    <ds:schemaRef ds:uri="7e142c09-e703-4e31-9724-e164518f651d"/>
  </ds:schemaRefs>
</ds:datastoreItem>
</file>

<file path=customXml/itemProps2.xml><?xml version="1.0" encoding="utf-8"?>
<ds:datastoreItem xmlns:ds="http://schemas.openxmlformats.org/officeDocument/2006/customXml" ds:itemID="{5EB3C970-4FD8-4954-BD13-18DF23F047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18E947-08A9-42D8-A7AD-AFFA8DEC4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142c09-e703-4e31-9724-e164518f65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24ffcea-f25b-491e-9dc9-834516f3550e}" enabled="1" method="Standard" siteId="{d52b49b7-0c8f-4d89-8c4f-f20517306e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Exigences Risques chimiques</vt:lpstr>
      <vt:lpstr>Checklist SSE</vt:lpstr>
      <vt:lpstr>Inventaire</vt:lpstr>
      <vt:lpstr>Analyse + Commentaires</vt:lpstr>
      <vt:lpstr>Dasboard Indicateurs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NJIKE Mariette Angele De Matho (SAFRAN AIRCRAFT ENGINES)</dc:creator>
  <cp:keywords/>
  <dc:description/>
  <cp:lastModifiedBy>NJIKE Mariette Angele De Matho (SAFRAN AIRCRAFT ENGINE</cp:lastModifiedBy>
  <cp:revision/>
  <dcterms:created xsi:type="dcterms:W3CDTF">2026-05-20T12:25:47Z</dcterms:created>
  <dcterms:modified xsi:type="dcterms:W3CDTF">2026-09-07T12:11:12Z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0x0101000AAF69885E7C5145A174AF6BDB50D384</vt:lpwstr>
  </property>
  <property fmtid="{D5CDD505-2E9C-101B-9397-08002B2CF9AE}" pid="3" name="_AdHocReviewCycleID">
    <vt:i4>1970872359</vt:i4>
  </property>
  <property fmtid="{D5CDD505-2E9C-101B-9397-08002B2CF9AE}" pid="4" name="_NewReviewCycle">
    <vt:lpwstr/>
  </property>
  <property fmtid="{D5CDD505-2E9C-101B-9397-08002B2CF9AE}" pid="5" name="_EmailSubject">
    <vt:lpwstr/>
  </property>
  <property fmtid="{D5CDD505-2E9C-101B-9397-08002B2CF9AE}" pid="6" name="_AuthorEmail">
    <vt:lpwstr>mariette-angele-de-matho.njike@safrangroup.com</vt:lpwstr>
  </property>
  <property fmtid="{D5CDD505-2E9C-101B-9397-08002B2CF9AE}" pid="7" name="_AuthorEmailDisplayName">
    <vt:lpwstr>NJIKE Mariette Angele De Matho (SAFRAN AIRCRAFT ENGINES)</vt:lpwstr>
  </property>
</Properties>
</file>